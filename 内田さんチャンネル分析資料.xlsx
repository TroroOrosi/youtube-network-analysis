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name="📊 ダッシュボード" sheetId="1" state="visible" r:id="rId1"/>
    <sheet name="① 人気チャンネルTop50" sheetId="2" state="visible" r:id="rId2"/>
    <sheet name="② 視聴者の興味ジャンル" sheetId="3" state="visible" r:id="rId3"/>
    <sheet name="③ 隠れた相性チャンネル" sheetId="4" state="visible" r:id="rId4"/>
    <sheet name="④ 登録数の分布" sheetId="5" state="visible" r:id="rId5"/>
    <sheet name="⑤ 視聴者グループ" sheetId="6" state="visible" r:id="rId6"/>
    <sheet name="📋 用語・手法の説明" sheetId="7" state="visible" r:id="rId7"/>
  </sheets>
  <definedNames/>
  <calcPr calcId="191029" fullCalcOnLoad="1"/>
</workbook>
</file>

<file path=xl/styles.xml><?xml version="1.0" encoding="utf-8"?>
<styleSheet xmlns="http://schemas.openxmlformats.org/spreadsheetml/2006/main">
  <numFmts count="2">
    <numFmt numFmtId="164" formatCode="0.0%"/>
    <numFmt numFmtId="165" formatCode="0.0&quot;倍&quot;"/>
  </numFmts>
  <fonts count="38">
    <font>
      <name val="ＭＳ Ｐゴシック"/>
      <family val="2"/>
      <color theme="1"/>
      <sz val="11"/>
      <scheme val="minor"/>
    </font>
    <font>
      <name val="Calibri"/>
      <b val="1"/>
      <color rgb="FF1F2937"/>
      <sz val="18"/>
    </font>
    <font>
      <name val="Calibri"/>
      <color rgb="FF6B7280"/>
      <sz val="10"/>
    </font>
    <font>
      <name val="Calibri"/>
      <color rgb="FF6B7280"/>
      <sz val="9"/>
    </font>
    <font>
      <name val="Calibri"/>
      <b val="1"/>
      <color rgb="FFFFFFFF"/>
      <sz val="8"/>
    </font>
    <font>
      <name val="Calibri"/>
      <b val="1"/>
      <color rgb="FFFFFFFF"/>
      <sz val="17"/>
    </font>
    <font>
      <name val="Calibri"/>
      <color rgb="FFBFDBFE"/>
      <sz val="8"/>
    </font>
    <font>
      <name val="Calibri"/>
      <b val="1"/>
      <color rgb="FF1A56DB"/>
      <sz val="12"/>
    </font>
    <font>
      <name val="Calibri"/>
      <b val="1"/>
      <color rgb="FF1F2937"/>
      <sz val="10"/>
    </font>
    <font>
      <name val="Calibri"/>
      <color rgb="FF1F2937"/>
      <sz val="10"/>
    </font>
    <font>
      <name val="Calibri"/>
      <b val="1"/>
      <color rgb="FFFFFFFF"/>
      <sz val="10"/>
    </font>
    <font>
      <name val="Calibri"/>
      <b val="1"/>
      <color rgb="FFFFFFFF"/>
      <sz val="9"/>
    </font>
    <font>
      <name val="Calibri"/>
      <b val="1"/>
      <color rgb="FF1F2937"/>
      <sz val="15"/>
    </font>
    <font>
      <name val="Calibri"/>
      <b val="1"/>
      <color rgb="FF0E9F6E"/>
      <sz val="9"/>
    </font>
    <font>
      <name val="Calibri"/>
      <b val="1"/>
      <color rgb="FFD97706"/>
      <sz val="9"/>
    </font>
    <font>
      <name val="Calibri"/>
      <b val="1"/>
      <color rgb="FF7C3AED"/>
      <sz val="9"/>
    </font>
    <font>
      <name val="Calibri"/>
      <b val="1"/>
      <color rgb="FF1A56DB"/>
      <sz val="9"/>
    </font>
    <font>
      <name val="Calibri"/>
      <b val="1"/>
      <color rgb="FF0891B2"/>
      <sz val="9"/>
    </font>
    <font>
      <name val="Calibri"/>
      <b val="1"/>
      <color rgb="FF6B7280"/>
      <sz val="9"/>
    </font>
    <font>
      <name val="Calibri"/>
      <b val="1"/>
      <color rgb="FFDC2626"/>
      <sz val="9"/>
    </font>
    <font>
      <name val="Calibri"/>
      <b val="1"/>
      <color rgb="FF2563EB"/>
      <sz val="9"/>
    </font>
    <font>
      <name val="Calibri"/>
      <b val="1"/>
      <color rgb="FFBE185D"/>
      <sz val="9"/>
    </font>
    <font>
      <name val="Calibri"/>
      <b val="1"/>
      <color rgb="FF059669"/>
      <sz val="9"/>
    </font>
    <font>
      <name val="Calibri"/>
      <b val="1"/>
      <color rgb="FFD97706"/>
      <sz val="12"/>
    </font>
    <font>
      <name val="Calibri"/>
      <b val="1"/>
      <color rgb="FFD97706"/>
      <sz val="10"/>
    </font>
    <font>
      <name val="Calibri"/>
      <b val="1"/>
      <color rgb="FFDC2626"/>
      <sz val="10"/>
    </font>
    <font>
      <name val="Calibri"/>
      <family val="2"/>
      <color rgb="FF1F2937"/>
      <sz val="10"/>
    </font>
    <font>
      <name val="ＭＳ Ｐゴシック"/>
      <charset val="128"/>
      <family val="3"/>
      <sz val="6"/>
      <scheme val="minor"/>
    </font>
    <font>
      <name val="Segoe UI Emoji"/>
      <family val="2"/>
      <b val="1"/>
      <color rgb="FF1A56DB"/>
      <sz val="12"/>
    </font>
    <font>
      <name val="Calibri"/>
      <family val="2"/>
      <b val="1"/>
      <color rgb="FF1A56DB"/>
      <sz val="12"/>
    </font>
    <font>
      <name val="ＭＳ ゴシック"/>
      <charset val="128"/>
      <family val="3"/>
      <b val="1"/>
      <color rgb="FF1A56DB"/>
      <sz val="12"/>
    </font>
    <font>
      <name val="ＭＳ ゴシック"/>
      <charset val="128"/>
      <family val="3"/>
      <b val="1"/>
      <color rgb="FF1F2937"/>
      <sz val="10"/>
    </font>
    <font>
      <name val="Calibri"/>
      <charset val="128"/>
      <family val="3"/>
      <color rgb="FF6B7280"/>
      <sz val="9"/>
    </font>
    <font>
      <name val="Calibri"/>
      <family val="2"/>
      <b val="1"/>
      <color rgb="FF1F2937"/>
      <sz val="10"/>
    </font>
    <font>
      <name val="ＭＳ ゴシック"/>
      <charset val="128"/>
      <family val="3"/>
      <color rgb="FF1F2937"/>
      <sz val="10"/>
    </font>
    <font>
      <name val="Calibri"/>
      <charset val="128"/>
      <family val="3"/>
      <color rgb="FF1F2937"/>
      <sz val="10"/>
    </font>
    <font/>
    <font>
      <name val="Calibri"/>
      <b val="1"/>
      <color rgb="FF1F2937"/>
      <sz val="11"/>
    </font>
  </fonts>
  <fills count="12">
    <fill>
      <patternFill/>
    </fill>
    <fill>
      <patternFill patternType="gray125"/>
    </fill>
    <fill>
      <patternFill patternType="solid">
        <fgColor rgb="FF1A56DB"/>
      </patternFill>
    </fill>
    <fill>
      <patternFill patternType="solid">
        <fgColor rgb="FFFFFFFF"/>
      </patternFill>
    </fill>
    <fill>
      <patternFill patternType="solid">
        <fgColor rgb="FF0E9F6E"/>
      </patternFill>
    </fill>
    <fill>
      <patternFill patternType="solid">
        <fgColor rgb="FFD97706"/>
      </patternFill>
    </fill>
    <fill>
      <patternFill patternType="solid">
        <fgColor rgb="FFEFF6FF"/>
      </patternFill>
    </fill>
    <fill>
      <patternFill patternType="solid">
        <fgColor rgb="FFF9FAFB"/>
      </patternFill>
    </fill>
    <fill>
      <patternFill patternType="solid">
        <fgColor rgb="FF7C3AED"/>
      </patternFill>
    </fill>
    <fill>
      <patternFill patternType="solid">
        <fgColor rgb="FF0891B2"/>
      </patternFill>
    </fill>
    <fill>
      <patternFill patternType="solid">
        <fgColor rgb="FF6B7280"/>
      </patternFill>
    </fill>
    <fill>
      <patternFill patternType="solid">
        <fgColor rgb="FFFFF7ED"/>
      </patternFill>
    </fill>
  </fills>
  <borders count="11">
    <border>
      <left/>
      <right/>
      <top/>
      <bottom/>
      <diagonal/>
    </border>
    <border>
      <left style="thin">
        <color rgb="FFE5E7EB"/>
      </left>
      <right style="thin">
        <color rgb="FFE5E7EB"/>
      </right>
      <top style="thin">
        <color rgb="FFE5E7EB"/>
      </top>
      <bottom style="thin">
        <color rgb="FFE5E7EB"/>
      </bottom>
      <diagonal/>
    </border>
    <border>
      <left/>
      <right/>
      <top style="thin">
        <color rgb="FFE5E7EB"/>
      </top>
      <bottom style="thin">
        <color rgb="FFE5E7EB"/>
      </bottom>
      <diagonal/>
    </border>
    <border>
      <left/>
      <right style="thin">
        <color rgb="FFE5E7EB"/>
      </right>
      <top style="thin">
        <color rgb="FFE5E7EB"/>
      </top>
      <bottom style="thin">
        <color rgb="FFE5E7EB"/>
      </bottom>
      <diagonal/>
    </border>
    <border>
      <left style="thin">
        <color rgb="FFD97706"/>
      </left>
      <right style="thin">
        <color rgb="FFD97706"/>
      </right>
      <top style="thin">
        <color rgb="FFD97706"/>
      </top>
      <bottom style="thin">
        <color rgb="FFD97706"/>
      </bottom>
      <diagonal/>
    </border>
    <border>
      <left/>
      <right/>
      <top style="thin">
        <color rgb="FFE5E7EB"/>
      </top>
      <bottom/>
      <diagonal/>
    </border>
    <border>
      <left/>
      <right style="thin">
        <color rgb="FFE5E7EB"/>
      </right>
      <top style="thin">
        <color rgb="FFE5E7EB"/>
      </top>
      <bottom/>
      <diagonal/>
    </border>
    <border>
      <left/>
      <right/>
      <top style="thin">
        <color rgb="FFD97706"/>
      </top>
      <bottom/>
      <diagonal/>
    </border>
    <border>
      <left/>
      <right style="thin">
        <color rgb="FFD97706"/>
      </right>
      <top style="thin">
        <color rgb="FFD97706"/>
      </top>
      <bottom/>
      <diagonal/>
    </border>
    <border>
      <left/>
      <right/>
      <top style="thin">
        <color rgb="FFD97706"/>
      </top>
      <bottom style="thin">
        <color rgb="FFD97706"/>
      </bottom>
      <diagonal/>
    </border>
    <border>
      <left/>
      <right style="thin">
        <color rgb="FFD97706"/>
      </right>
      <top style="thin">
        <color rgb="FFD97706"/>
      </top>
      <bottom style="thin">
        <color rgb="FFD97706"/>
      </bottom>
      <diagonal/>
    </border>
  </borders>
  <cellStyleXfs count="1">
    <xf numFmtId="0" fontId="0" fillId="0" borderId="0"/>
  </cellStyleXfs>
  <cellXfs count="133">
    <xf numFmtId="0" fontId="0" fillId="0" borderId="0" pivotButton="0" quotePrefix="0" xfId="0"/>
    <xf numFmtId="0" fontId="0" fillId="2" borderId="0" pivotButton="0" quotePrefix="0" xfId="0"/>
    <xf numFmtId="0" fontId="4" fillId="2" borderId="0" applyAlignment="1" pivotButton="0" quotePrefix="0" xfId="0">
      <alignment horizontal="center" wrapText="1"/>
    </xf>
    <xf numFmtId="0" fontId="4" fillId="4" borderId="0" applyAlignment="1" pivotButton="0" quotePrefix="0" xfId="0">
      <alignment horizontal="center" wrapText="1"/>
    </xf>
    <xf numFmtId="0" fontId="4" fillId="5" borderId="0" applyAlignment="1" pivotButton="0" quotePrefix="0" xfId="0">
      <alignment horizontal="center" wrapText="1"/>
    </xf>
    <xf numFmtId="0" fontId="5" fillId="2" borderId="0" applyAlignment="1" pivotButton="0" quotePrefix="0" xfId="0">
      <alignment horizontal="center" vertical="center"/>
    </xf>
    <xf numFmtId="0" fontId="5" fillId="4" borderId="0" applyAlignment="1" pivotButton="0" quotePrefix="0" xfId="0">
      <alignment horizontal="center" vertical="center"/>
    </xf>
    <xf numFmtId="0" fontId="5" fillId="5" borderId="0" applyAlignment="1" pivotButton="0" quotePrefix="0" xfId="0">
      <alignment horizontal="center" vertical="center"/>
    </xf>
    <xf numFmtId="0" fontId="6" fillId="2" borderId="0" applyAlignment="1" pivotButton="0" quotePrefix="0" xfId="0">
      <alignment horizontal="center" vertical="top" wrapText="1"/>
    </xf>
    <xf numFmtId="0" fontId="6" fillId="4" borderId="0" applyAlignment="1" pivotButton="0" quotePrefix="0" xfId="0">
      <alignment horizontal="center" vertical="top" wrapText="1"/>
    </xf>
    <xf numFmtId="0" fontId="6" fillId="5" borderId="0" applyAlignment="1" pivotButton="0" quotePrefix="0" xfId="0">
      <alignment horizontal="center" vertical="top" wrapText="1"/>
    </xf>
    <xf numFmtId="0" fontId="8" fillId="6" borderId="1" applyAlignment="1" pivotButton="0" quotePrefix="0" xfId="0">
      <alignment horizontal="left" vertical="center" wrapText="1" indent="1"/>
    </xf>
    <xf numFmtId="0" fontId="9" fillId="7" borderId="1" applyAlignment="1" pivotButton="0" quotePrefix="0" xfId="0">
      <alignment horizontal="left" vertical="center" wrapText="1" indent="1"/>
    </xf>
    <xf numFmtId="0" fontId="9" fillId="3" borderId="1" applyAlignment="1" pivotButton="0" quotePrefix="0" xfId="0">
      <alignment horizontal="left" vertical="center" wrapText="1" indent="1"/>
    </xf>
    <xf numFmtId="0" fontId="10" fillId="2" borderId="1" applyAlignment="1" pivotButton="0" quotePrefix="0" xfId="0">
      <alignment horizontal="center" vertical="center" wrapText="1"/>
    </xf>
    <xf numFmtId="0" fontId="8" fillId="7" borderId="1" applyAlignment="1" pivotButton="0" quotePrefix="0" xfId="0">
      <alignment horizontal="left" vertical="center" indent="1"/>
    </xf>
    <xf numFmtId="0" fontId="9" fillId="7" borderId="1" applyAlignment="1" pivotButton="0" quotePrefix="0" xfId="0">
      <alignment horizontal="center" vertical="center" wrapText="1"/>
    </xf>
    <xf numFmtId="0" fontId="3" fillId="7" borderId="1" applyAlignment="1" pivotButton="0" quotePrefix="0" xfId="0">
      <alignment horizontal="left" vertical="center" wrapText="1" indent="1"/>
    </xf>
    <xf numFmtId="0" fontId="8" fillId="3" borderId="1" applyAlignment="1" pivotButton="0" quotePrefix="0" xfId="0">
      <alignment horizontal="left" vertical="center" indent="1"/>
    </xf>
    <xf numFmtId="0" fontId="9" fillId="3" borderId="1" applyAlignment="1" pivotButton="0" quotePrefix="0" xfId="0">
      <alignment horizontal="center" vertical="center" wrapText="1"/>
    </xf>
    <xf numFmtId="0" fontId="3" fillId="3" borderId="1" applyAlignment="1" pivotButton="0" quotePrefix="0" xfId="0">
      <alignment horizontal="left" vertical="center" wrapText="1" indent="1"/>
    </xf>
    <xf numFmtId="0" fontId="11" fillId="2" borderId="1" applyAlignment="1" pivotButton="0" quotePrefix="0" xfId="0">
      <alignment horizontal="center" vertical="center" wrapText="1"/>
    </xf>
    <xf numFmtId="0" fontId="11" fillId="4" borderId="1" applyAlignment="1" pivotButton="0" quotePrefix="0" xfId="0">
      <alignment horizontal="center" vertical="center" wrapText="1"/>
    </xf>
    <xf numFmtId="0" fontId="11" fillId="5" borderId="1" applyAlignment="1" pivotButton="0" quotePrefix="0" xfId="0">
      <alignment horizontal="center" vertical="center" wrapText="1"/>
    </xf>
    <xf numFmtId="0" fontId="11" fillId="8" borderId="1" applyAlignment="1" pivotButton="0" quotePrefix="0" xfId="0">
      <alignment horizontal="center" vertical="center" wrapText="1"/>
    </xf>
    <xf numFmtId="0" fontId="11" fillId="9" borderId="1" applyAlignment="1" pivotButton="0" quotePrefix="0" xfId="0">
      <alignment horizontal="center" vertical="center" wrapText="1"/>
    </xf>
    <xf numFmtId="0" fontId="11" fillId="10" borderId="1" applyAlignment="1" pivotButton="0" quotePrefix="0" xfId="0">
      <alignment horizontal="center" vertical="center" wrapText="1"/>
    </xf>
    <xf numFmtId="0" fontId="9" fillId="7" borderId="1" applyAlignment="1" pivotButton="0" quotePrefix="0" xfId="0">
      <alignment horizontal="center" vertical="center"/>
    </xf>
    <xf numFmtId="0" fontId="9" fillId="7" borderId="1" applyAlignment="1" pivotButton="0" quotePrefix="0" xfId="0">
      <alignment horizontal="left" vertical="center" indent="1"/>
    </xf>
    <xf numFmtId="3" fontId="9" fillId="7" borderId="1" applyAlignment="1" pivotButton="0" quotePrefix="0" xfId="0">
      <alignment horizontal="center" vertical="center"/>
    </xf>
    <xf numFmtId="164" fontId="8" fillId="7" borderId="1" applyAlignment="1" pivotButton="0" quotePrefix="0" xfId="0">
      <alignment horizontal="center" vertical="center"/>
    </xf>
    <xf numFmtId="0" fontId="13" fillId="7" borderId="1" applyAlignment="1" pivotButton="0" quotePrefix="0" xfId="0">
      <alignment horizontal="center" vertical="center"/>
    </xf>
    <xf numFmtId="0" fontId="9" fillId="3" borderId="1" applyAlignment="1" pivotButton="0" quotePrefix="0" xfId="0">
      <alignment horizontal="center" vertical="center"/>
    </xf>
    <xf numFmtId="0" fontId="9" fillId="3" borderId="1" applyAlignment="1" pivotButton="0" quotePrefix="0" xfId="0">
      <alignment horizontal="left" vertical="center" indent="1"/>
    </xf>
    <xf numFmtId="3" fontId="9" fillId="3" borderId="1" applyAlignment="1" pivotButton="0" quotePrefix="0" xfId="0">
      <alignment horizontal="center" vertical="center"/>
    </xf>
    <xf numFmtId="164" fontId="8" fillId="3" borderId="1" applyAlignment="1" pivotButton="0" quotePrefix="0" xfId="0">
      <alignment horizontal="center" vertical="center"/>
    </xf>
    <xf numFmtId="0" fontId="14" fillId="3" borderId="1" applyAlignment="1" pivotButton="0" quotePrefix="0" xfId="0">
      <alignment horizontal="center" vertical="center"/>
    </xf>
    <xf numFmtId="0" fontId="15" fillId="7" borderId="1" applyAlignment="1" pivotButton="0" quotePrefix="0" xfId="0">
      <alignment horizontal="center" vertical="center"/>
    </xf>
    <xf numFmtId="0" fontId="15" fillId="3" borderId="1" applyAlignment="1" pivotButton="0" quotePrefix="0" xfId="0">
      <alignment horizontal="center" vertical="center"/>
    </xf>
    <xf numFmtId="0" fontId="16" fillId="3" borderId="1" applyAlignment="1" pivotButton="0" quotePrefix="0" xfId="0">
      <alignment horizontal="center" vertical="center"/>
    </xf>
    <xf numFmtId="164" fontId="9" fillId="7" borderId="1" applyAlignment="1" pivotButton="0" quotePrefix="0" xfId="0">
      <alignment horizontal="center" vertical="center"/>
    </xf>
    <xf numFmtId="164" fontId="9" fillId="3" borderId="1" applyAlignment="1" pivotButton="0" quotePrefix="0" xfId="0">
      <alignment horizontal="center" vertical="center"/>
    </xf>
    <xf numFmtId="0" fontId="17" fillId="3" borderId="1" applyAlignment="1" pivotButton="0" quotePrefix="0" xfId="0">
      <alignment horizontal="center" vertical="center"/>
    </xf>
    <xf numFmtId="0" fontId="18" fillId="7" borderId="1" applyAlignment="1" pivotButton="0" quotePrefix="0" xfId="0">
      <alignment horizontal="center" vertical="center"/>
    </xf>
    <xf numFmtId="0" fontId="18" fillId="3" borderId="1" applyAlignment="1" pivotButton="0" quotePrefix="0" xfId="0">
      <alignment horizontal="center" vertical="center"/>
    </xf>
    <xf numFmtId="0" fontId="19" fillId="7" borderId="1" applyAlignment="1" pivotButton="0" quotePrefix="0" xfId="0">
      <alignment horizontal="center" vertical="center"/>
    </xf>
    <xf numFmtId="0" fontId="20" fillId="3" borderId="1" applyAlignment="1" pivotButton="0" quotePrefix="0" xfId="0">
      <alignment horizontal="center" vertical="center"/>
    </xf>
    <xf numFmtId="0" fontId="16" fillId="7" borderId="1" applyAlignment="1" pivotButton="0" quotePrefix="0" xfId="0">
      <alignment horizontal="center" vertical="center"/>
    </xf>
    <xf numFmtId="0" fontId="13" fillId="3" borderId="1" applyAlignment="1" pivotButton="0" quotePrefix="0" xfId="0">
      <alignment horizontal="center" vertical="center"/>
    </xf>
    <xf numFmtId="0" fontId="14" fillId="7" borderId="1" applyAlignment="1" pivotButton="0" quotePrefix="0" xfId="0">
      <alignment horizontal="center" vertical="center"/>
    </xf>
    <xf numFmtId="0" fontId="21" fillId="3" borderId="1" applyAlignment="1" pivotButton="0" quotePrefix="0" xfId="0">
      <alignment horizontal="center" vertical="center"/>
    </xf>
    <xf numFmtId="0" fontId="22" fillId="7" borderId="1" applyAlignment="1" pivotButton="0" quotePrefix="0" xfId="0">
      <alignment horizontal="center" vertical="center"/>
    </xf>
    <xf numFmtId="0" fontId="17" fillId="7" borderId="1" applyAlignment="1" pivotButton="0" quotePrefix="0" xfId="0">
      <alignment horizontal="center" vertical="center"/>
    </xf>
    <xf numFmtId="0" fontId="20" fillId="7" borderId="1" applyAlignment="1" pivotButton="0" quotePrefix="0" xfId="0">
      <alignment horizontal="center" vertical="center"/>
    </xf>
    <xf numFmtId="0" fontId="0" fillId="4" borderId="0" pivotButton="0" quotePrefix="0" xfId="0"/>
    <xf numFmtId="0" fontId="10" fillId="4" borderId="1" applyAlignment="1" pivotButton="0" quotePrefix="0" xfId="0">
      <alignment horizontal="center" vertical="center" wrapText="1"/>
    </xf>
    <xf numFmtId="0" fontId="8" fillId="6" borderId="1" applyAlignment="1" pivotButton="0" quotePrefix="0" xfId="0">
      <alignment horizontal="left" vertical="center" indent="1"/>
    </xf>
    <xf numFmtId="3" fontId="8" fillId="6" borderId="1" applyAlignment="1" pivotButton="0" quotePrefix="0" xfId="0">
      <alignment horizontal="center" vertical="center"/>
    </xf>
    <xf numFmtId="164" fontId="8" fillId="6" borderId="1" applyAlignment="1" pivotButton="0" quotePrefix="0" xfId="0">
      <alignment horizontal="center" vertical="center"/>
    </xf>
    <xf numFmtId="0" fontId="0" fillId="5" borderId="0" pivotButton="0" quotePrefix="0" xfId="0"/>
    <xf numFmtId="0" fontId="10" fillId="5" borderId="1" applyAlignment="1" pivotButton="0" quotePrefix="0" xfId="0">
      <alignment horizontal="center" vertical="center" wrapText="1"/>
    </xf>
    <xf numFmtId="165" fontId="24" fillId="7" borderId="1" applyAlignment="1" pivotButton="0" quotePrefix="0" xfId="0">
      <alignment horizontal="center" vertical="center"/>
    </xf>
    <xf numFmtId="165" fontId="24" fillId="3" borderId="1" applyAlignment="1" pivotButton="0" quotePrefix="0" xfId="0">
      <alignment horizontal="center" vertical="center"/>
    </xf>
    <xf numFmtId="165" fontId="25" fillId="3" borderId="1" applyAlignment="1" pivotButton="0" quotePrefix="0" xfId="0">
      <alignment horizontal="center" vertical="center"/>
    </xf>
    <xf numFmtId="165" fontId="25" fillId="7" borderId="1" applyAlignment="1" pivotButton="0" quotePrefix="0" xfId="0">
      <alignment horizontal="center" vertical="center"/>
    </xf>
    <xf numFmtId="165" fontId="8" fillId="7" borderId="1" applyAlignment="1" pivotButton="0" quotePrefix="0" xfId="0">
      <alignment horizontal="center" vertical="center"/>
    </xf>
    <xf numFmtId="165" fontId="8" fillId="3" borderId="1" applyAlignment="1" pivotButton="0" quotePrefix="0" xfId="0">
      <alignment horizontal="center" vertical="center"/>
    </xf>
    <xf numFmtId="0" fontId="0" fillId="8" borderId="0" pivotButton="0" quotePrefix="0" xfId="0"/>
    <xf numFmtId="0" fontId="10" fillId="8" borderId="1" applyAlignment="1" pivotButton="0" quotePrefix="0" xfId="0">
      <alignment horizontal="center" vertical="center" wrapText="1"/>
    </xf>
    <xf numFmtId="0" fontId="3" fillId="7" borderId="1" applyAlignment="1" pivotButton="0" quotePrefix="0" xfId="0">
      <alignment horizontal="left" vertical="center" indent="1"/>
    </xf>
    <xf numFmtId="0" fontId="3" fillId="3" borderId="1" applyAlignment="1" pivotButton="0" quotePrefix="0" xfId="0">
      <alignment horizontal="left" vertical="center" indent="1"/>
    </xf>
    <xf numFmtId="0" fontId="8" fillId="6" borderId="1" applyAlignment="1" pivotButton="0" quotePrefix="0" xfId="0">
      <alignment horizontal="center" vertical="center"/>
    </xf>
    <xf numFmtId="0" fontId="0" fillId="9" borderId="0" pivotButton="0" quotePrefix="0" xfId="0"/>
    <xf numFmtId="0" fontId="10" fillId="9" borderId="1" applyAlignment="1" pivotButton="0" quotePrefix="0" xfId="0">
      <alignment horizontal="center" vertical="center" wrapText="1"/>
    </xf>
    <xf numFmtId="0" fontId="0" fillId="10" borderId="0" pivotButton="0" quotePrefix="0" xfId="0"/>
    <xf numFmtId="0" fontId="10" fillId="10" borderId="1" applyAlignment="1" pivotButton="0" quotePrefix="0" xfId="0">
      <alignment horizontal="left" vertical="center" wrapText="1" indent="1"/>
    </xf>
    <xf numFmtId="0" fontId="8" fillId="7" borderId="1" applyAlignment="1" pivotButton="0" quotePrefix="0" xfId="0">
      <alignment horizontal="left" vertical="center" wrapText="1" indent="1"/>
    </xf>
    <xf numFmtId="0" fontId="8" fillId="3" borderId="1" applyAlignment="1" pivotButton="0" quotePrefix="0" xfId="0">
      <alignment horizontal="left" vertical="center" wrapText="1" indent="1"/>
    </xf>
    <xf numFmtId="0" fontId="2" fillId="3" borderId="0" applyAlignment="1" pivotButton="0" quotePrefix="0" xfId="0">
      <alignment horizontal="left" vertical="center" indent="1"/>
    </xf>
    <xf numFmtId="0" fontId="0" fillId="0" borderId="0" pivotButton="0" quotePrefix="0" xfId="0"/>
    <xf numFmtId="0" fontId="1" fillId="3" borderId="0" applyAlignment="1" pivotButton="0" quotePrefix="0" xfId="0">
      <alignment horizontal="left" vertical="center" indent="1"/>
    </xf>
    <xf numFmtId="0" fontId="9" fillId="7"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9" fillId="3" borderId="1" applyAlignment="1" pivotButton="0" quotePrefix="0" xfId="0">
      <alignment horizontal="left" vertical="center" wrapText="1" indent="1"/>
    </xf>
    <xf numFmtId="0" fontId="7" fillId="6" borderId="0" applyAlignment="1" pivotButton="0" quotePrefix="0" xfId="0">
      <alignment horizontal="left" vertical="center" indent="1"/>
    </xf>
    <xf numFmtId="0" fontId="3" fillId="3" borderId="0" applyAlignment="1" pivotButton="0" quotePrefix="0" xfId="0">
      <alignment horizontal="left" vertical="center" indent="1"/>
    </xf>
    <xf numFmtId="0" fontId="10" fillId="2" borderId="1" applyAlignment="1" pivotButton="0" quotePrefix="0" xfId="0">
      <alignment horizontal="center" vertical="center" wrapText="1"/>
    </xf>
    <xf numFmtId="0" fontId="0" fillId="0" borderId="2" pivotButton="0" quotePrefix="0" xfId="0"/>
    <xf numFmtId="0" fontId="0" fillId="0" borderId="3" pivotButton="0" quotePrefix="0" xfId="0"/>
    <xf numFmtId="0" fontId="12" fillId="3" borderId="0" applyAlignment="1" pivotButton="0" quotePrefix="0" xfId="0">
      <alignment horizontal="left" vertical="center" indent="1"/>
    </xf>
    <xf numFmtId="0" fontId="3" fillId="0" borderId="0" applyAlignment="1" pivotButton="0" quotePrefix="0" xfId="0">
      <alignment horizontal="left" vertical="center" indent="1"/>
    </xf>
    <xf numFmtId="0" fontId="2" fillId="3" borderId="0" applyAlignment="1" pivotButton="0" quotePrefix="0" xfId="0">
      <alignment horizontal="left" vertical="center" wrapText="1" indent="1"/>
    </xf>
    <xf numFmtId="0" fontId="12" fillId="3" borderId="0" applyAlignment="1" pivotButton="0" quotePrefix="0" xfId="0">
      <alignment horizontal="left" vertical="center" wrapText="1" indent="1"/>
    </xf>
    <xf numFmtId="0" fontId="3" fillId="0" borderId="0" applyAlignment="1" pivotButton="0" quotePrefix="0" xfId="0">
      <alignment horizontal="left" vertical="center" wrapText="1" indent="1"/>
    </xf>
    <xf numFmtId="0" fontId="23" fillId="6" borderId="0" applyAlignment="1" pivotButton="0" quotePrefix="0" xfId="0">
      <alignment horizontal="left" vertical="center" indent="1"/>
    </xf>
    <xf numFmtId="0" fontId="29" fillId="6" borderId="0" applyAlignment="1" pivotButton="0" quotePrefix="0" xfId="0">
      <alignment horizontal="left" vertical="center" indent="1"/>
    </xf>
    <xf numFmtId="0" fontId="31" fillId="3" borderId="1" applyAlignment="1" pivotButton="0" quotePrefix="0" xfId="0">
      <alignment horizontal="left" vertical="center" wrapText="1" indent="1"/>
    </xf>
    <xf numFmtId="0" fontId="31" fillId="7" borderId="1" applyAlignment="1" pivotButton="0" quotePrefix="0" xfId="0">
      <alignment horizontal="left" vertical="center" wrapText="1" indent="1"/>
    </xf>
    <xf numFmtId="0" fontId="32" fillId="0" borderId="0" applyAlignment="1" pivotButton="0" quotePrefix="0" xfId="0">
      <alignment horizontal="left" vertical="center" wrapText="1" indent="1"/>
    </xf>
    <xf numFmtId="0" fontId="33" fillId="7" borderId="1" applyAlignment="1" pivotButton="0" quotePrefix="0" xfId="0">
      <alignment horizontal="left" vertical="center" indent="1"/>
    </xf>
    <xf numFmtId="0" fontId="33" fillId="3" borderId="1" applyAlignment="1" pivotButton="0" quotePrefix="0" xfId="0">
      <alignment horizontal="left" vertical="center" indent="1"/>
    </xf>
    <xf numFmtId="0" fontId="34" fillId="3" borderId="0" applyAlignment="1" pivotButton="0" quotePrefix="0" xfId="0">
      <alignment horizontal="left" vertical="center" wrapText="1" indent="1"/>
    </xf>
    <xf numFmtId="0" fontId="35" fillId="11" borderId="4" applyAlignment="1" pivotButton="0" quotePrefix="0" xfId="0">
      <alignment horizontal="left" vertical="center" wrapText="1" indent="1"/>
    </xf>
    <xf numFmtId="0" fontId="37" fillId="0" borderId="0" pivotButton="0" quotePrefix="0" xfId="0"/>
    <xf numFmtId="164" fontId="8" fillId="7" borderId="1" applyAlignment="1" pivotButton="0" quotePrefix="0" xfId="0">
      <alignment horizontal="center" vertical="center"/>
    </xf>
    <xf numFmtId="164" fontId="8" fillId="3" borderId="1" applyAlignment="1" pivotButton="0" quotePrefix="0" xfId="0">
      <alignment horizontal="center" vertical="center"/>
    </xf>
    <xf numFmtId="164" fontId="9" fillId="7" borderId="1" applyAlignment="1" pivotButton="0" quotePrefix="0" xfId="0">
      <alignment horizontal="center" vertical="center"/>
    </xf>
    <xf numFmtId="164" fontId="9" fillId="3" borderId="1" applyAlignment="1" pivotButton="0" quotePrefix="0" xfId="0">
      <alignment horizontal="center" vertical="center"/>
    </xf>
    <xf numFmtId="0" fontId="36" fillId="0" borderId="0" pivotButton="0" quotePrefix="0" xfId="0"/>
    <xf numFmtId="0" fontId="12" fillId="0" borderId="0" applyAlignment="1" pivotButton="0" quotePrefix="0" xfId="0">
      <alignment horizontal="left" vertical="center"/>
    </xf>
    <xf numFmtId="0" fontId="2" fillId="0" borderId="0" applyAlignment="1" pivotButton="0" quotePrefix="0" xfId="0">
      <alignment horizontal="left" vertical="center" wrapText="1"/>
    </xf>
    <xf numFmtId="0" fontId="8" fillId="7" borderId="1" applyAlignment="1" pivotButton="0" quotePrefix="0" xfId="0">
      <alignment horizontal="left" vertical="center"/>
    </xf>
    <xf numFmtId="0" fontId="8" fillId="3" borderId="1" applyAlignment="1" pivotButton="0" quotePrefix="0" xfId="0">
      <alignment horizontal="left" vertical="center"/>
    </xf>
    <xf numFmtId="0" fontId="8" fillId="7" borderId="0" applyAlignment="1" pivotButton="0" quotePrefix="0" xfId="0">
      <alignment horizontal="left" vertical="center"/>
    </xf>
    <xf numFmtId="3" fontId="9" fillId="7" borderId="0" applyAlignment="1" pivotButton="0" quotePrefix="0" xfId="0">
      <alignment horizontal="center" vertical="center"/>
    </xf>
    <xf numFmtId="164" fontId="8" fillId="7" borderId="0" applyAlignment="1" pivotButton="0" quotePrefix="0" xfId="0">
      <alignment horizontal="center" vertical="center"/>
    </xf>
    <xf numFmtId="0" fontId="8" fillId="3" borderId="0" applyAlignment="1" pivotButton="0" quotePrefix="0" xfId="0">
      <alignment horizontal="left" vertical="center"/>
    </xf>
    <xf numFmtId="3" fontId="9" fillId="3" borderId="0" applyAlignment="1" pivotButton="0" quotePrefix="0" xfId="0">
      <alignment horizontal="center" vertical="center"/>
    </xf>
    <xf numFmtId="164" fontId="8" fillId="3" borderId="0" applyAlignment="1" pivotButton="0" quotePrefix="0" xfId="0">
      <alignment horizontal="center" vertical="center"/>
    </xf>
    <xf numFmtId="0" fontId="8" fillId="6" borderId="0" applyAlignment="1" pivotButton="0" quotePrefix="0" xfId="0">
      <alignment horizontal="left" vertical="center"/>
    </xf>
    <xf numFmtId="3" fontId="8" fillId="6" borderId="0" applyAlignment="1" pivotButton="0" quotePrefix="0" xfId="0">
      <alignment horizontal="center" vertical="center"/>
    </xf>
    <xf numFmtId="164" fontId="8" fillId="6" borderId="0" applyAlignment="1" pivotButton="0" quotePrefix="0" xfId="0">
      <alignment horizontal="center" vertical="center"/>
    </xf>
    <xf numFmtId="0" fontId="3" fillId="0" borderId="0" applyAlignment="1" pivotButton="0" quotePrefix="0" xfId="0">
      <alignment horizontal="left" vertical="top" wrapText="1"/>
    </xf>
    <xf numFmtId="0" fontId="0" fillId="0" borderId="9" pivotButton="0" quotePrefix="0" xfId="0"/>
    <xf numFmtId="0" fontId="0" fillId="0" borderId="10" pivotButton="0" quotePrefix="0" xfId="0"/>
    <xf numFmtId="165" fontId="24" fillId="7" borderId="1" applyAlignment="1" pivotButton="0" quotePrefix="0" xfId="0">
      <alignment horizontal="center" vertical="center"/>
    </xf>
    <xf numFmtId="165" fontId="24" fillId="3" borderId="1" applyAlignment="1" pivotButton="0" quotePrefix="0" xfId="0">
      <alignment horizontal="center" vertical="center"/>
    </xf>
    <xf numFmtId="165" fontId="25" fillId="3" borderId="1" applyAlignment="1" pivotButton="0" quotePrefix="0" xfId="0">
      <alignment horizontal="center" vertical="center"/>
    </xf>
    <xf numFmtId="165" fontId="25" fillId="7" borderId="1" applyAlignment="1" pivotButton="0" quotePrefix="0" xfId="0">
      <alignment horizontal="center" vertical="center"/>
    </xf>
    <xf numFmtId="165" fontId="8" fillId="7" borderId="1" applyAlignment="1" pivotButton="0" quotePrefix="0" xfId="0">
      <alignment horizontal="center" vertical="center"/>
    </xf>
    <xf numFmtId="165" fontId="8" fillId="3" borderId="1" applyAlignment="1" pivotButton="0" quotePrefix="0" xfId="0">
      <alignment horizontal="center" vertical="center"/>
    </xf>
    <xf numFmtId="164" fontId="8" fillId="6" borderId="1" applyAlignment="1" pivotButton="0" quotePrefix="0" xfId="0">
      <alignment horizontal="center" vertical="center"/>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ジャンル別 延べ登録数（Top150）</a:t>
            </a:r>
          </a:p>
        </rich>
      </tx>
    </title>
    <plotArea>
      <barChart>
        <barDir val="bar"/>
        <grouping val="clustered"/>
        <ser>
          <idx val="0"/>
          <order val="0"/>
          <tx>
            <strRef>
              <f>'② 視聴者の興味ジャンル'!D5</f>
            </strRef>
          </tx>
          <spPr>
            <a:solidFill>
              <a:srgbClr val="0E9F6E"/>
            </a:solidFill>
            <a:ln>
              <a:prstDash val="solid"/>
            </a:ln>
          </spPr>
          <cat>
            <numRef>
              <f>'② 視聴者の興味ジャンル'!$B$6:$B$15</f>
            </numRef>
          </cat>
          <val>
            <numRef>
              <f>'② 視聴者の興味ジャンル'!$D$6:$D$15</f>
            </numRef>
          </val>
        </ser>
        <dLbls>
          <numFmt formatCode="#,##0"/>
          <showVal val="1"/>
        </dLbls>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登録者率トップ15（本チャンネル視聴者808人に占める割合）</a:t>
            </a:r>
          </a:p>
        </rich>
      </tx>
    </title>
    <plotArea>
      <barChart>
        <barDir val="bar"/>
        <grouping val="clustered"/>
        <ser>
          <idx val="0"/>
          <order val="0"/>
          <tx>
            <strRef>
              <f>'① 人気チャンネルTop50'!E5</f>
            </strRef>
          </tx>
          <spPr>
            <a:solidFill>
              <a:srgbClr val="1A56DB"/>
            </a:solidFill>
            <a:ln>
              <a:prstDash val="solid"/>
            </a:ln>
          </spPr>
          <cat>
            <numRef>
              <f>'① 人気チャンネルTop50'!$C$6:$C$20</f>
            </numRef>
          </cat>
          <val>
            <numRef>
              <f>'① 人気チャンネルTop50'!$E$6:$E$20</f>
            </numRef>
          </val>
        </ser>
        <dLbls>
          <numFmt formatCode="0.0%"/>
          <showVal val="1"/>
        </dLbls>
        <gapWidth val="50"/>
        <axId val="10"/>
        <axId val="100"/>
      </barChart>
      <catAx>
        <axId val="10"/>
        <scaling>
          <orientation val="minMax"/>
        </scaling>
        <delete val="0"/>
        <axPos val="l"/>
        <numFmt formatCode="0%" sourceLinked="0"/>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ジャンル別 視聴者の登録数（延べ人数・Top150）</a:t>
            </a:r>
          </a:p>
        </rich>
      </tx>
    </title>
    <plotArea>
      <barChart>
        <barDir val="col"/>
        <grouping val="clustered"/>
        <ser>
          <idx val="0"/>
          <order val="0"/>
          <tx>
            <strRef>
              <f>'② 視聴者の興味ジャンル'!D5</f>
            </strRef>
          </tx>
          <spPr>
            <a:solidFill>
              <a:srgbClr val="0E9F6E"/>
            </a:solidFill>
            <a:ln>
              <a:prstDash val="solid"/>
            </a:ln>
          </spPr>
          <cat>
            <numRef>
              <f>'② 視聴者の興味ジャンル'!$B$6:$B$15</f>
            </numRef>
          </cat>
          <val>
            <numRef>
              <f>'② 視聴者の興味ジャンル'!$D$6:$D$15</f>
            </numRef>
          </val>
        </ser>
        <dLbls>
          <numFmt formatCode="#,##0"/>
          <showVal val="1"/>
        </dLbls>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延べ登録数（人）</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ジャンル構成比（延べ登録数ベース）</a:t>
            </a:r>
          </a:p>
        </rich>
      </tx>
    </title>
    <plotArea>
      <pieChart>
        <varyColors val="1"/>
        <ser>
          <idx val="0"/>
          <order val="0"/>
          <tx>
            <strRef>
              <f>'② 視聴者の興味ジャンル'!D5</f>
            </strRef>
          </tx>
          <spPr>
            <a:ln>
              <a:prstDash val="solid"/>
            </a:ln>
          </spPr>
          <dPt>
            <idx val="0"/>
            <spPr>
              <a:solidFill>
                <a:srgbClr val="0E9F6E"/>
              </a:solidFill>
              <a:ln>
                <a:prstDash val="solid"/>
              </a:ln>
            </spPr>
          </dPt>
          <dPt>
            <idx val="1"/>
            <spPr>
              <a:solidFill>
                <a:srgbClr val="8B5CF6"/>
              </a:solidFill>
              <a:ln>
                <a:prstDash val="solid"/>
              </a:ln>
            </spPr>
          </dPt>
          <dPt>
            <idx val="2"/>
            <spPr>
              <a:solidFill>
                <a:srgbClr val="10B981"/>
              </a:solidFill>
              <a:ln>
                <a:prstDash val="solid"/>
              </a:ln>
            </spPr>
          </dPt>
          <dPt>
            <idx val="3"/>
            <spPr>
              <a:solidFill>
                <a:srgbClr val="F59E0B"/>
              </a:solidFill>
              <a:ln>
                <a:prstDash val="solid"/>
              </a:ln>
            </spPr>
          </dPt>
          <dPt>
            <idx val="4"/>
            <spPr>
              <a:solidFill>
                <a:srgbClr val="6366F1"/>
              </a:solidFill>
              <a:ln>
                <a:prstDash val="solid"/>
              </a:ln>
            </spPr>
          </dPt>
          <dPt>
            <idx val="5"/>
            <spPr>
              <a:solidFill>
                <a:srgbClr val="F97316"/>
              </a:solidFill>
              <a:ln>
                <a:prstDash val="solid"/>
              </a:ln>
            </spPr>
          </dPt>
          <dPt>
            <idx val="6"/>
            <spPr>
              <a:solidFill>
                <a:srgbClr val="EC4899"/>
              </a:solidFill>
              <a:ln>
                <a:prstDash val="solid"/>
              </a:ln>
            </spPr>
          </dPt>
          <dPt>
            <idx val="7"/>
            <spPr>
              <a:solidFill>
                <a:srgbClr val="EF4444"/>
              </a:solidFill>
              <a:ln>
                <a:prstDash val="solid"/>
              </a:ln>
            </spPr>
          </dPt>
          <dPt>
            <idx val="8"/>
            <spPr>
              <a:solidFill>
                <a:srgbClr val="14B8A6"/>
              </a:solidFill>
              <a:ln>
                <a:prstDash val="solid"/>
              </a:ln>
            </spPr>
          </dPt>
          <dPt>
            <idx val="9"/>
            <spPr>
              <a:solidFill>
                <a:srgbClr val="3B82F6"/>
              </a:solidFill>
              <a:ln>
                <a:prstDash val="solid"/>
              </a:ln>
            </spPr>
          </dPt>
          <cat>
            <numRef>
              <f>'② 視聴者の興味ジャンル'!$B$6:$B$15</f>
            </numRef>
          </cat>
          <val>
            <numRef>
              <f>'② 視聴者の興味ジャンル'!$D$6:$D$15</f>
            </numRef>
          </val>
        </ser>
        <dLbls>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隠れた相性スコア トップ15（規模補正の親和性 lift・倍）</a:t>
            </a:r>
          </a:p>
        </rich>
      </tx>
    </title>
    <plotArea>
      <barChart>
        <barDir val="bar"/>
        <grouping val="clustered"/>
        <ser>
          <idx val="0"/>
          <order val="0"/>
          <tx>
            <strRef>
              <f>'③ 隠れた相性チャンネル'!G8</f>
            </strRef>
          </tx>
          <spPr>
            <a:solidFill>
              <a:srgbClr val="D97706"/>
            </a:solidFill>
            <a:ln>
              <a:prstDash val="solid"/>
            </a:ln>
          </spPr>
          <cat>
            <numRef>
              <f>'③ 隠れた相性チャンネル'!$C$9:$C$23</f>
            </numRef>
          </cat>
          <val>
            <numRef>
              <f>'③ 隠れた相性チャンネル'!$G$9:$G$23</f>
            </numRef>
          </val>
        </ser>
        <dLbls>
          <numFmt formatCode="0"/>
          <showVal val="1"/>
        </dLbls>
        <gapWidth val="50"/>
        <axId val="10"/>
        <axId val="100"/>
      </barChart>
      <catAx>
        <axId val="10"/>
        <scaling>
          <orientation val="minMax"/>
        </scaling>
        <delete val="0"/>
        <axPos val="l"/>
        <title>
          <tx>
            <rich>
              <a:bodyPr/>
              <a:p>
                <a:pPr>
                  <a:defRPr/>
                </a:pPr>
                <a:r>
                  <a:t>一般ユーザー比の登録されやすさ（倍）</a:t>
                </a:r>
              </a:p>
            </rich>
          </tx>
        </title>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視聴者1人あたりの公開登録チャンネル数の分布</a:t>
            </a:r>
          </a:p>
        </rich>
      </tx>
    </title>
    <plotArea>
      <barChart>
        <barDir val="col"/>
        <grouping val="clustered"/>
        <ser>
          <idx val="0"/>
          <order val="0"/>
          <tx>
            <strRef>
              <f>'④ 登録数の分布'!C5</f>
            </strRef>
          </tx>
          <spPr>
            <a:solidFill>
              <a:srgbClr val="7C3AED"/>
            </a:solidFill>
            <a:ln>
              <a:prstDash val="solid"/>
            </a:ln>
          </spPr>
          <cat>
            <numRef>
              <f>'④ 登録数の分布'!$B$6:$B$16</f>
            </numRef>
          </cat>
          <val>
            <numRef>
              <f>'④ 登録数の分布'!$C$6:$C$16</f>
            </numRef>
          </val>
        </ser>
        <dLbls>
          <numFmt formatCode="#,##0"/>
          <showVal val="1"/>
        </dLbls>
        <gapWidth val="60"/>
        <axId val="10"/>
        <axId val="100"/>
      </barChart>
      <catAx>
        <axId val="10"/>
        <scaling>
          <orientation val="minMax"/>
        </scaling>
        <delete val="0"/>
        <axPos val="l"/>
        <title>
          <tx>
            <rich>
              <a:bodyPr/>
              <a:p>
                <a:pPr>
                  <a:defRPr/>
                </a:pPr>
                <a:r>
                  <a:t>登録チャンネル数の範囲</a:t>
                </a:r>
              </a:p>
            </rich>
          </tx>
        </title>
        <majorTickMark val="none"/>
        <minorTickMark val="none"/>
        <crossAx val="100"/>
        <lblOffset val="100"/>
      </catAx>
      <valAx>
        <axId val="100"/>
        <scaling>
          <orientation val="minMax"/>
        </scaling>
        <delete val="0"/>
        <axPos val="l"/>
        <majorGridlines/>
        <title>
          <tx>
            <rich>
              <a:bodyPr/>
              <a:p>
                <a:pPr>
                  <a:defRPr/>
                </a:pPr>
                <a:r>
                  <a:t>視聴者数（人）</a:t>
                </a:r>
              </a:p>
            </rich>
          </tx>
        </title>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視聴者グループ別 チャンネル数（上位12クラスタ）</a:t>
            </a:r>
          </a:p>
        </rich>
      </tx>
    </title>
    <plotArea>
      <barChart>
        <barDir val="col"/>
        <grouping val="clustered"/>
        <ser>
          <idx val="0"/>
          <order val="0"/>
          <tx>
            <strRef>
              <f>'⑤ 視聴者グループ'!C5</f>
            </strRef>
          </tx>
          <spPr>
            <a:solidFill>
              <a:srgbClr val="0891B2"/>
            </a:solidFill>
            <a:ln>
              <a:prstDash val="solid"/>
            </a:ln>
          </spPr>
          <cat>
            <numRef>
              <f>'⑤ 視聴者グループ'!$B$6:$B$17</f>
            </numRef>
          </cat>
          <val>
            <numRef>
              <f>'⑤ 視聴者グループ'!$C$6:$C$17</f>
            </numRef>
          </val>
        </ser>
        <dLbls>
          <numFmt formatCode="#,##0"/>
          <showVal val="1"/>
        </dLbls>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グループ内チャンネル数</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27</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648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19</row>
      <rowOff>0</rowOff>
    </from>
    <ext cx="4680000" cy="34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648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FF1A56DB"/>
    <outlinePr summaryBelow="1" summaryRight="1"/>
    <pageSetUpPr/>
  </sheetPr>
  <dimension ref="B1:G27"/>
  <sheetViews>
    <sheetView showGridLines="0" tabSelected="1" workbookViewId="0">
      <selection activeCell="D26" sqref="D26"/>
    </sheetView>
  </sheetViews>
  <sheetFormatPr baseColWidth="8" defaultRowHeight="12.75"/>
  <cols>
    <col width="2" customWidth="1" style="79" min="1" max="1"/>
    <col width="19" customWidth="1" style="79" min="2" max="7"/>
  </cols>
  <sheetData>
    <row r="1" ht="5" customHeight="1" s="79">
      <c r="B1" s="1" t="n"/>
      <c r="C1" s="1" t="n"/>
      <c r="D1" s="1" t="n"/>
      <c r="E1" s="1" t="n"/>
      <c r="F1" s="1" t="n"/>
      <c r="G1" s="1" t="n"/>
    </row>
    <row r="2" ht="40.05" customHeight="1" s="79">
      <c r="B2" s="80" t="inlineStr">
        <is>
          <t>YouTube 視聴者ネットワーク分析レポート</t>
        </is>
      </c>
    </row>
    <row r="3" ht="22.05" customHeight="1" s="79">
      <c r="B3" s="78" t="inlineStr">
        <is>
          <t>「視聴者は普段どんなチャンネルを見ているのか？」—— コメント投稿者808人の公開登録データを分析</t>
        </is>
      </c>
    </row>
    <row r="4" ht="18" customHeight="1" s="79">
      <c r="B4" s="86" t="inlineStr">
        <is>
          <t>分析日: 2026-06-22  |  参考動画: 「10万人の登録者はどんなチャンネルを見ているのか？」（データで語る棒人間）</t>
        </is>
      </c>
    </row>
    <row r="5" ht="8" customHeight="1" s="79"/>
    <row r="6" ht="30" customHeight="1" s="79">
      <c r="B6" s="2" t="inlineStr">
        <is>
          <t>👥 観測した視聴者数</t>
        </is>
      </c>
      <c r="C6" s="2" t="inlineStr">
        <is>
          <t>📺 登録先チャンネルの総数</t>
        </is>
      </c>
      <c r="D6" s="3" t="inlineStr">
        <is>
          <t>📌 1人あたりの登録数
（中央値）</t>
        </is>
      </c>
      <c r="E6" s="3" t="inlineStr">
        <is>
          <t>🏆 最多登録チャンネルの
視聴者登録率</t>
        </is>
      </c>
      <c r="F6" s="4" t="inlineStr">
        <is>
          <t>🔍 発見した
視聴者グループ数</t>
        </is>
      </c>
      <c r="G6" s="4" t="inlineStr">
        <is>
          <t>⭐ 最大「隠れた相性」スコア</t>
        </is>
      </c>
    </row>
    <row r="7" ht="28.05" customHeight="1" s="79">
      <c r="B7" s="5" t="inlineStr">
        <is>
          <t>808人</t>
        </is>
      </c>
      <c r="C7" s="5" t="inlineStr">
        <is>
          <t>106,568ch</t>
        </is>
      </c>
      <c r="D7" s="6" t="inlineStr">
        <is>
          <t>162ch</t>
        </is>
      </c>
      <c r="E7" s="6" t="inlineStr">
        <is>
          <t>32.8%</t>
        </is>
      </c>
      <c r="F7" s="7" t="inlineStr">
        <is>
          <t>50グループ</t>
        </is>
      </c>
      <c r="G7" s="7" t="inlineStr">
        <is>
          <t>181倍</t>
        </is>
      </c>
    </row>
    <row r="8" ht="22.05" customHeight="1" s="79">
      <c r="B8" s="8" t="inlineStr">
        <is>
          <t>公開登録が確認できた
コメント投稿者の合計</t>
        </is>
      </c>
      <c r="C8" s="8" t="inlineStr">
        <is>
          <t>視聴者全員の登録先を合算</t>
        </is>
      </c>
      <c r="D8" s="9" t="inlineStr">
        <is>
          <t>1人が登録している
チャンネル数</t>
        </is>
      </c>
      <c r="E8" s="9" t="inlineStr">
        <is>
          <t>パラノイア【有益】
808人中265人が登録</t>
        </is>
      </c>
      <c r="F8" s="10" t="inlineStr">
        <is>
          <t>よく似た視聴履歴を持つ
チャンネルのかたまり</t>
        </is>
      </c>
      <c r="G8" s="10" t="inlineStr">
        <is>
          <t>一般ユーザー比181倍の確率で
本チャンネル視聴者が登録</t>
        </is>
      </c>
    </row>
    <row r="9" ht="8" customHeight="1" s="79"/>
    <row r="10" ht="10.05" customHeight="1" s="79"/>
    <row r="11" ht="26" customHeight="1" s="79">
      <c r="B11" s="85" t="inlineStr">
        <is>
          <t>💡 この分析で分かったこと</t>
        </is>
      </c>
    </row>
    <row r="12" ht="45" customHeight="1" s="79">
      <c r="B12" s="11" t="inlineStr">
        <is>
          <t>① 視聴者の関心は自己啓発・ビジネス系が中心</t>
        </is>
      </c>
      <c r="C12" s="81" t="inlineStr">
        <is>
          <t>最も多く登録されていたのは「パラノイア【有益】」（32.8%）。上位は自己啓発・読書要約・ビジネス系が独占。参考動画（科学・教育系チャンネル）とは傾向が異なり、本チャンネルの視聴者層の特徴が出ている。</t>
        </is>
      </c>
      <c r="D12" s="88" t="n"/>
      <c r="E12" s="88" t="n"/>
      <c r="F12" s="88" t="n"/>
      <c r="G12" s="89" t="n"/>
    </row>
    <row r="13" ht="45" customHeight="1" s="79">
      <c r="B13" s="11" t="inlineStr">
        <is>
          <t>② 関心はビジネス・投資とスピリチュアル・引き寄せの二本柱</t>
        </is>
      </c>
      <c r="C13" s="84" t="inlineStr">
        <is>
          <t>Top150チャンネルを10ジャンルに深堀り分類（未分類0件）すると、最大は「ビジネス・投資・お金」（延べ2,447登録）、僅差で「スピリチュアル・引き寄せ」（延べ1,958登録）が続く。後者はこの層に特徴的で、隠れた相性スコア上位や視聴者グループ#3とも符合する。自己啓発・読書教養・エンタメ等にも幅広く広がり、関心は単一ジャンルに偏らない。</t>
        </is>
      </c>
      <c r="D13" s="88" t="n"/>
      <c r="E13" s="88" t="n"/>
      <c r="F13" s="88" t="n"/>
      <c r="G13" s="89" t="n"/>
    </row>
    <row r="14" ht="45" customHeight="1" s="79">
      <c r="B14" s="11" t="inlineStr">
        <is>
          <t>③ 登録者数が多い ≠ 本チャンネルと相性が良い</t>
        </is>
      </c>
      <c r="C14" s="81" t="inlineStr">
        <is>
          <t>大型チャンネルでも「本チャンネルの視聴者に特に選ばれている」とは限らない。隠れた相性スコアTop40のほとんどは、スピリチュアル系の小〜中規模チャンネルが占めており、視聴者の深い関心が見えてくる。</t>
        </is>
      </c>
      <c r="D14" s="88" t="n"/>
      <c r="E14" s="88" t="n"/>
      <c r="F14" s="88" t="n"/>
      <c r="G14" s="89" t="n"/>
    </row>
    <row r="15" ht="45" customHeight="1" s="79">
      <c r="B15" s="11" t="inlineStr">
        <is>
          <t>④ 注意：このデータの見方</t>
        </is>
      </c>
      <c r="C15" s="84" t="inlineStr">
        <is>
          <t>観測できたのは「公開登録設定ON」のコメント投稿者808人のみ。登録を非公開にしている視聴者は含まれないため、全視聴者を完全に代表するデータではない。</t>
        </is>
      </c>
      <c r="D15" s="88" t="n"/>
      <c r="E15" s="88" t="n"/>
      <c r="F15" s="88" t="n"/>
      <c r="G15" s="89" t="n"/>
    </row>
    <row r="16" ht="10.05" customHeight="1" s="79"/>
    <row r="17" ht="26" customHeight="1" s="79">
      <c r="B17" s="85" t="inlineStr">
        <is>
          <t>📹 参考動画（データで語る棒人間）との比較</t>
        </is>
      </c>
    </row>
    <row r="18" ht="26" customHeight="1" s="79">
      <c r="B18" s="87" t="inlineStr">
        <is>
          <t>比較項目</t>
        </is>
      </c>
      <c r="C18" s="87" t="inlineStr">
        <is>
          <t>参考動画（10万人チャンネル）</t>
        </is>
      </c>
      <c r="D18" s="87" t="inlineStr">
        <is>
          <t>本データ（実測値）</t>
        </is>
      </c>
      <c r="E18" s="87" t="inlineStr">
        <is>
          <t>差異・補足</t>
        </is>
      </c>
      <c r="F18" s="88" t="n"/>
      <c r="G18" s="89" t="n"/>
    </row>
    <row r="19" ht="30" customHeight="1" s="79">
      <c r="B19" s="15" t="inlineStr">
        <is>
          <t>観測した視聴者数</t>
        </is>
      </c>
      <c r="C19" s="16" t="inlineStr">
        <is>
          <t>1,000人（10万人から無作為抽出）</t>
        </is>
      </c>
      <c r="D19" s="16" t="inlineStr">
        <is>
          <t>808人（公開登録のある全員を採用）</t>
        </is>
      </c>
      <c r="E19" s="82" t="inlineStr">
        <is>
          <t>本データは参考動画より規模がやや小さい</t>
        </is>
      </c>
      <c r="F19" s="88" t="n"/>
      <c r="G19" s="89" t="n"/>
    </row>
    <row r="20" ht="30" customHeight="1" s="79">
      <c r="B20" s="18" t="inlineStr">
        <is>
          <t>登録先チャンネル数</t>
        </is>
      </c>
      <c r="C20" s="19" t="inlineStr">
        <is>
          <t>約99,000チャンネル</t>
        </is>
      </c>
      <c r="D20" s="19" t="inlineStr">
        <is>
          <t>106,568チャンネル</t>
        </is>
      </c>
      <c r="E20" s="83" t="inlineStr">
        <is>
          <t>ほぼ同規模（本データがわずかに多い）</t>
        </is>
      </c>
      <c r="F20" s="88" t="n"/>
      <c r="G20" s="89" t="n"/>
    </row>
    <row r="21" ht="30" customHeight="1" s="79">
      <c r="B21" s="15" t="inlineStr">
        <is>
          <t>登録のリンク総数</t>
        </is>
      </c>
      <c r="C21" s="16" t="inlineStr">
        <is>
          <t>約400,000本</t>
        </is>
      </c>
      <c r="D21" s="16" t="inlineStr">
        <is>
          <t>235,024本</t>
        </is>
      </c>
      <c r="E21" s="82" t="inlineStr">
        <is>
          <t>視聴者数の差が影響</t>
        </is>
      </c>
      <c r="F21" s="88" t="n"/>
      <c r="G21" s="89" t="n"/>
    </row>
    <row r="22" ht="30" customHeight="1" s="79">
      <c r="B22" s="18" t="inlineStr">
        <is>
          <t>視聴者の主な関心</t>
        </is>
      </c>
      <c r="C22" s="19" t="inlineStr">
        <is>
          <t>科学・教育コンテンツが中心</t>
        </is>
      </c>
      <c r="D22" s="19" t="inlineStr">
        <is>
          <t>自己啓発・ビジネス・読書が中心</t>
        </is>
      </c>
      <c r="E22" s="83" t="inlineStr">
        <is>
          <t>どちらも学習・自己成長志向。本データはスピリチュアル・引き寄せも特徴的</t>
        </is>
      </c>
      <c r="F22" s="88" t="n"/>
      <c r="G22" s="89" t="n"/>
    </row>
    <row r="23" ht="30" customHeight="1" s="79">
      <c r="B23" s="15" t="inlineStr">
        <is>
          <t>最多登録チャンネル</t>
        </is>
      </c>
      <c r="C23" s="16" t="inlineStr">
        <is>
          <t>チャンネルにより異なる</t>
        </is>
      </c>
      <c r="D23" s="16" t="inlineStr">
        <is>
          <t>パラノイア【有益】（32.8%）</t>
        </is>
      </c>
      <c r="E23" s="82" t="inlineStr">
        <is>
          <t>上位は自己啓発・教養系が独占</t>
        </is>
      </c>
      <c r="F23" s="88" t="n"/>
      <c r="G23" s="89" t="n"/>
    </row>
    <row r="24" ht="10.05" customHeight="1" s="79"/>
    <row r="25" ht="26" customHeight="1" s="79">
      <c r="B25" s="85" t="inlineStr">
        <is>
          <t>📂 各シートへのリンク（クリックでジャンプ）</t>
        </is>
      </c>
    </row>
    <row r="26" ht="26" customHeight="1" s="79">
      <c r="B26" s="21" t="inlineStr">
        <is>
          <t>① 人気チャンネルTop50</t>
        </is>
      </c>
      <c r="C26" s="22" t="inlineStr">
        <is>
          <t>② 視聴者の興味ジャンル</t>
        </is>
      </c>
      <c r="D26" s="23" t="inlineStr">
        <is>
          <t>③ 隠れた相性チャンネル</t>
        </is>
      </c>
      <c r="E26" s="24" t="inlineStr">
        <is>
          <t>④ 登録数の分布</t>
        </is>
      </c>
      <c r="F26" s="25" t="inlineStr">
        <is>
          <t>⑤ 視聴者グループ</t>
        </is>
      </c>
      <c r="G26" s="26" t="inlineStr">
        <is>
          <t>📋 用語・手法の説明</t>
        </is>
      </c>
    </row>
    <row r="27">
      <c r="B27" s="104" t="inlineStr">
        <is>
          <t>📊 視聴者の興味ジャンル内訳（Top150を10ジャンルに深堀り分類・延べ登録数）</t>
        </is>
      </c>
    </row>
  </sheetData>
  <mergeCells count="16">
    <mergeCell ref="B3:G3"/>
    <mergeCell ref="B2:G2"/>
    <mergeCell ref="C12:G12"/>
    <mergeCell ref="E19:G19"/>
    <mergeCell ref="E22:G22"/>
    <mergeCell ref="E23:G23"/>
    <mergeCell ref="C15:G15"/>
    <mergeCell ref="B17:G17"/>
    <mergeCell ref="B25:G25"/>
    <mergeCell ref="B4:G4"/>
    <mergeCell ref="E18:G18"/>
    <mergeCell ref="C14:G14"/>
    <mergeCell ref="E21:G21"/>
    <mergeCell ref="C13:G13"/>
    <mergeCell ref="E20:G20"/>
    <mergeCell ref="B11:G11"/>
  </mergeCells>
  <hyperlinks>
    <hyperlink ref="B26" location="'① 人気チャンネルTop50'!A1" display="① 人気チャンネルTop50"/>
    <hyperlink ref="C26" location="'② 視聴者の興味ジャンル'!A1" display="② 視聴者の興味ジャンル"/>
    <hyperlink ref="D26" location="'③ 隠れた相性チャンネル'!A1" display="③ 隠れた相性チャンネル"/>
    <hyperlink ref="E26" location="'④ 登録数の分布'!A1" display="④ 登録数の分布"/>
    <hyperlink ref="F26" location="'⑤ 視聴者グループ'!A1" display="⑤ 視聴者グループ"/>
    <hyperlink ref="G26" location="'📋 用語・手法の説明'!A1" display="📋 用語・手法の説明"/>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1A56DB"/>
    <outlinePr summaryBelow="1" summaryRight="1"/>
    <pageSetUpPr/>
  </sheetPr>
  <dimension ref="B1:F57"/>
  <sheetViews>
    <sheetView showGridLines="0" workbookViewId="0">
      <pane xSplit="1" ySplit="5" topLeftCell="B6" activePane="bottomRight" state="frozen"/>
      <selection pane="topRight" activeCell="A1" sqref="A1"/>
      <selection pane="bottomLeft" activeCell="A1" sqref="A1"/>
      <selection pane="bottomRight" activeCell="B57" sqref="B57:F57"/>
    </sheetView>
  </sheetViews>
  <sheetFormatPr baseColWidth="8" defaultRowHeight="12.75"/>
  <cols>
    <col width="2" customWidth="1" style="79" min="1" max="1"/>
    <col width="6" customWidth="1" style="79" min="2" max="2"/>
    <col width="36" customWidth="1" style="79" min="3" max="3"/>
    <col width="14" customWidth="1" style="79" min="4" max="4"/>
    <col width="13" customWidth="1" style="79" min="5" max="5"/>
    <col width="20" customWidth="1" style="79" min="6" max="6"/>
  </cols>
  <sheetData>
    <row r="1" ht="5" customHeight="1" s="79">
      <c r="B1" s="1" t="n"/>
      <c r="C1" s="1" t="n"/>
      <c r="D1" s="1" t="n"/>
      <c r="E1" s="1" t="n"/>
      <c r="F1" s="1" t="n"/>
    </row>
    <row r="2" ht="38" customHeight="1" s="79">
      <c r="B2" s="90" t="inlineStr">
        <is>
          <t>① 視聴者がよく見ているチャンネル Top50（登録者率の高い順）</t>
        </is>
      </c>
    </row>
    <row r="3" ht="32" customHeight="1" s="79">
      <c r="B3" s="92" t="inlineStr">
        <is>
          <t>「登録者率」＝ 本チャンネルの視聴者808人のうち、そのチャンネルを登録している人の割合。例）32.8% ＝ 808人中265人が登録。ジャンルは各チャンネルの内容を精査して分類。</t>
        </is>
      </c>
    </row>
    <row r="4" ht="10.05" customHeight="1" s="79"/>
    <row r="5" ht="28.05" customHeight="1" s="79">
      <c r="B5" s="87" t="inlineStr">
        <is>
          <t>順位</t>
        </is>
      </c>
      <c r="C5" s="87" t="inlineStr">
        <is>
          <t>チャンネル名</t>
        </is>
      </c>
      <c r="D5" s="87" t="inlineStr">
        <is>
          <t>登録している
視聴者数（人）</t>
        </is>
      </c>
      <c r="E5" s="87" t="inlineStr">
        <is>
          <t>登録者率
（%）</t>
        </is>
      </c>
      <c r="F5" s="87" t="inlineStr">
        <is>
          <t>ジャンル</t>
        </is>
      </c>
    </row>
    <row r="6" ht="22.05" customHeight="1" s="79">
      <c r="B6" s="27" t="inlineStr">
        <is>
          <t>🥇 1位</t>
        </is>
      </c>
      <c r="C6" s="28" t="inlineStr">
        <is>
          <t>Paranoia_パラノイア【有益】</t>
        </is>
      </c>
      <c r="D6" s="29" t="n">
        <v>265</v>
      </c>
      <c r="E6" s="105" t="n">
        <v>0.327970297029703</v>
      </c>
      <c r="F6" s="31" t="inlineStr">
        <is>
          <t>🌱 自己啓発・マインド</t>
        </is>
      </c>
    </row>
    <row r="7" ht="22.05" customHeight="1" s="79">
      <c r="B7" s="32" t="inlineStr">
        <is>
          <t>🥈 2位</t>
        </is>
      </c>
      <c r="C7" s="33" t="inlineStr">
        <is>
          <t>両学長 リベラルアーツ大学</t>
        </is>
      </c>
      <c r="D7" s="34" t="n">
        <v>258</v>
      </c>
      <c r="E7" s="106" t="n">
        <v>0.3193069306930693</v>
      </c>
      <c r="F7" s="36" t="inlineStr">
        <is>
          <t>💼 ビジネス・投資・お金</t>
        </is>
      </c>
    </row>
    <row r="8" ht="22.05" customHeight="1" s="79">
      <c r="B8" s="27" t="inlineStr">
        <is>
          <t>🥉 3位</t>
        </is>
      </c>
      <c r="C8" s="28" t="inlineStr">
        <is>
          <t>本要約チャンネル【毎日18時更新】</t>
        </is>
      </c>
      <c r="D8" s="29" t="n">
        <v>246</v>
      </c>
      <c r="E8" s="105" t="n">
        <v>0.3044554455445544</v>
      </c>
      <c r="F8" s="37" t="inlineStr">
        <is>
          <t>📚 読書・要約・教養</t>
        </is>
      </c>
    </row>
    <row r="9" ht="22.05" customHeight="1" s="79">
      <c r="B9" s="32" t="inlineStr">
        <is>
          <t>4位</t>
        </is>
      </c>
      <c r="C9" s="33" t="inlineStr">
        <is>
          <t xml:space="preserve">NAKATA UNIVERSITY </t>
        </is>
      </c>
      <c r="D9" s="34" t="n">
        <v>246</v>
      </c>
      <c r="E9" s="106" t="n">
        <v>0.3044554455445544</v>
      </c>
      <c r="F9" s="38" t="inlineStr">
        <is>
          <t>📚 読書・要約・教養</t>
        </is>
      </c>
    </row>
    <row r="10" ht="22.05" customHeight="1" s="79">
      <c r="B10" s="27" t="inlineStr">
        <is>
          <t>5位</t>
        </is>
      </c>
      <c r="C10" s="28" t="inlineStr">
        <is>
          <t>ひすいこたろうの名言セラピー</t>
        </is>
      </c>
      <c r="D10" s="29" t="n">
        <v>238</v>
      </c>
      <c r="E10" s="105" t="n">
        <v>0.2945544554455445</v>
      </c>
      <c r="F10" s="31" t="inlineStr">
        <is>
          <t>🌱 自己啓発・マインド</t>
        </is>
      </c>
    </row>
    <row r="11" ht="22.05" customHeight="1" s="79">
      <c r="B11" s="32" t="inlineStr">
        <is>
          <t>6位</t>
        </is>
      </c>
      <c r="C11" s="33" t="inlineStr">
        <is>
          <t>PIVOT 公式チャンネル</t>
        </is>
      </c>
      <c r="D11" s="34" t="n">
        <v>204</v>
      </c>
      <c r="E11" s="106" t="n">
        <v>0.2524752475247525</v>
      </c>
      <c r="F11" s="39" t="inlineStr">
        <is>
          <t>💼 ビジネス・投資・お金</t>
        </is>
      </c>
    </row>
    <row r="12" ht="22.05" customHeight="1" s="79">
      <c r="B12" s="27" t="inlineStr">
        <is>
          <t>7位</t>
        </is>
      </c>
      <c r="C12" s="28" t="inlineStr">
        <is>
          <t>学識サロン</t>
        </is>
      </c>
      <c r="D12" s="29" t="n">
        <v>189</v>
      </c>
      <c r="E12" s="107" t="n">
        <v>0.2339108910891089</v>
      </c>
      <c r="F12" s="37" t="inlineStr">
        <is>
          <t>🌱 自己啓発・マインド</t>
        </is>
      </c>
    </row>
    <row r="13" ht="22.05" customHeight="1" s="79">
      <c r="B13" s="32" t="inlineStr">
        <is>
          <t>8位</t>
        </is>
      </c>
      <c r="C13" s="33" t="inlineStr">
        <is>
          <t>哲理学作家さとうみつろう『神さまとのおしゃべり』チャンネル</t>
        </is>
      </c>
      <c r="D13" s="34" t="n">
        <v>188</v>
      </c>
      <c r="E13" s="108" t="n">
        <v>0.2326732673267327</v>
      </c>
      <c r="F13" s="42" t="inlineStr">
        <is>
          <t>✨ スピリチュアル・引き寄せ</t>
        </is>
      </c>
    </row>
    <row r="14" ht="22.05" customHeight="1" s="79">
      <c r="B14" s="27" t="inlineStr">
        <is>
          <t>9位</t>
        </is>
      </c>
      <c r="C14" s="28" t="inlineStr">
        <is>
          <t>Naokiman Show</t>
        </is>
      </c>
      <c r="D14" s="29" t="n">
        <v>176</v>
      </c>
      <c r="E14" s="107" t="n">
        <v>0.2178217821782178</v>
      </c>
      <c r="F14" s="43" t="inlineStr">
        <is>
          <t>🔮 雑学・ミステリー・都市伝説</t>
        </is>
      </c>
    </row>
    <row r="15" ht="22.05" customHeight="1" s="79">
      <c r="B15" s="32" t="inlineStr">
        <is>
          <t>10位</t>
        </is>
      </c>
      <c r="C15" s="33" t="inlineStr">
        <is>
          <t>フェルミ漫画大学</t>
        </is>
      </c>
      <c r="D15" s="34" t="n">
        <v>172</v>
      </c>
      <c r="E15" s="108" t="n">
        <v>0.2128712871287129</v>
      </c>
      <c r="F15" s="44" t="inlineStr">
        <is>
          <t>📚 読書・要約・教養</t>
        </is>
      </c>
    </row>
    <row r="16" ht="22.05" customHeight="1" s="79">
      <c r="B16" s="27" t="inlineStr">
        <is>
          <t>11位</t>
        </is>
      </c>
      <c r="C16" s="28" t="inlineStr">
        <is>
          <t>メンタリスト DaiGo</t>
        </is>
      </c>
      <c r="D16" s="29" t="n">
        <v>169</v>
      </c>
      <c r="E16" s="107" t="n">
        <v>0.2091584158415841</v>
      </c>
      <c r="F16" s="45" t="inlineStr">
        <is>
          <t>🧠 心理・メンタル</t>
        </is>
      </c>
    </row>
    <row r="17" ht="22.05" customHeight="1" s="79">
      <c r="B17" s="32" t="inlineStr">
        <is>
          <t>12位</t>
        </is>
      </c>
      <c r="C17" s="33" t="inlineStr">
        <is>
          <t>パソコン博士TAIKI</t>
        </is>
      </c>
      <c r="D17" s="34" t="n">
        <v>154</v>
      </c>
      <c r="E17" s="108" t="n">
        <v>0.1905940594059406</v>
      </c>
      <c r="F17" s="46" t="inlineStr">
        <is>
          <t>🔬 科学・数学・テクノロジー</t>
        </is>
      </c>
    </row>
    <row r="18" ht="22.05" customHeight="1" s="79">
      <c r="B18" s="27" t="inlineStr">
        <is>
          <t>13位</t>
        </is>
      </c>
      <c r="C18" s="28" t="inlineStr">
        <is>
          <t>NewsPicks /ニューズピックス</t>
        </is>
      </c>
      <c r="D18" s="29" t="n">
        <v>143</v>
      </c>
      <c r="E18" s="107" t="n">
        <v>0.176980198019802</v>
      </c>
      <c r="F18" s="47" t="inlineStr">
        <is>
          <t>💼 ビジネス・投資・お金</t>
        </is>
      </c>
    </row>
    <row r="19" ht="22.05" customHeight="1" s="79">
      <c r="B19" s="32" t="inlineStr">
        <is>
          <t>14位</t>
        </is>
      </c>
      <c r="C19" s="33" t="inlineStr">
        <is>
          <t>堀江貴文 ホリエモン</t>
        </is>
      </c>
      <c r="D19" s="34" t="n">
        <v>143</v>
      </c>
      <c r="E19" s="108" t="n">
        <v>0.176980198019802</v>
      </c>
      <c r="F19" s="39" t="inlineStr">
        <is>
          <t>💼 ビジネス・投資・お金</t>
        </is>
      </c>
    </row>
    <row r="20" ht="22.05" customHeight="1" s="79">
      <c r="B20" s="27" t="inlineStr">
        <is>
          <t>15位</t>
        </is>
      </c>
      <c r="C20" s="28" t="inlineStr">
        <is>
          <t>TOLAND VLOG</t>
        </is>
      </c>
      <c r="D20" s="29" t="n">
        <v>138</v>
      </c>
      <c r="E20" s="107" t="n">
        <v>0.1707920792079208</v>
      </c>
      <c r="F20" s="43" t="inlineStr">
        <is>
          <t>🔮 雑学・ミステリー・都市伝説</t>
        </is>
      </c>
    </row>
    <row r="21" ht="22.05" customHeight="1" s="79">
      <c r="B21" s="32" t="inlineStr">
        <is>
          <t>16位</t>
        </is>
      </c>
      <c r="C21" s="33" t="inlineStr">
        <is>
          <t>NMS STUDIO</t>
        </is>
      </c>
      <c r="D21" s="34" t="n">
        <v>136</v>
      </c>
      <c r="E21" s="108" t="n">
        <v>0.1683168316831683</v>
      </c>
      <c r="F21" s="48" t="inlineStr">
        <is>
          <t>🌱 自己啓発・マインド</t>
        </is>
      </c>
    </row>
    <row r="22" ht="22.05" customHeight="1" s="79">
      <c r="B22" s="27" t="inlineStr">
        <is>
          <t>17位</t>
        </is>
      </c>
      <c r="C22" s="28" t="inlineStr">
        <is>
          <t>脱・税理士スガワラくん</t>
        </is>
      </c>
      <c r="D22" s="29" t="n">
        <v>135</v>
      </c>
      <c r="E22" s="107" t="n">
        <v>0.1670792079207921</v>
      </c>
      <c r="F22" s="49" t="inlineStr">
        <is>
          <t>💼 ビジネス・投資・お金</t>
        </is>
      </c>
    </row>
    <row r="23" ht="22.05" customHeight="1" s="79">
      <c r="B23" s="32" t="inlineStr">
        <is>
          <t>18位</t>
        </is>
      </c>
      <c r="C23" s="33" t="inlineStr">
        <is>
          <t>ミルクティー飲みたい</t>
        </is>
      </c>
      <c r="D23" s="34" t="n">
        <v>132</v>
      </c>
      <c r="E23" s="108" t="n">
        <v>0.1633663366336634</v>
      </c>
      <c r="F23" s="50" t="inlineStr">
        <is>
          <t>🎵 エンタメ・音楽・芸能</t>
        </is>
      </c>
    </row>
    <row r="24" ht="22.05" customHeight="1" s="79">
      <c r="B24" s="27" t="inlineStr">
        <is>
          <t>19位</t>
        </is>
      </c>
      <c r="C24" s="28" t="inlineStr">
        <is>
          <t>ANNnewsCH</t>
        </is>
      </c>
      <c r="D24" s="29" t="n">
        <v>128</v>
      </c>
      <c r="E24" s="107" t="n">
        <v>0.1584158415841584</v>
      </c>
      <c r="F24" s="47" t="inlineStr">
        <is>
          <t>📰 ニュース・社会・政治</t>
        </is>
      </c>
    </row>
    <row r="25" ht="22.05" customHeight="1" s="79">
      <c r="B25" s="32" t="inlineStr">
        <is>
          <t>20位</t>
        </is>
      </c>
      <c r="C25" s="33" t="inlineStr">
        <is>
          <t>マコなり社長</t>
        </is>
      </c>
      <c r="D25" s="34" t="n">
        <v>127</v>
      </c>
      <c r="E25" s="108" t="n">
        <v>0.1571782178217822</v>
      </c>
      <c r="F25" s="48" t="inlineStr">
        <is>
          <t>💼 ビジネス・投資・お金</t>
        </is>
      </c>
    </row>
    <row r="26" ht="22.05" customHeight="1" s="79">
      <c r="B26" s="27" t="inlineStr">
        <is>
          <t>21位</t>
        </is>
      </c>
      <c r="C26" s="28" t="inlineStr">
        <is>
          <t>サラタメさん</t>
        </is>
      </c>
      <c r="D26" s="29" t="n">
        <v>120</v>
      </c>
      <c r="E26" s="107" t="n">
        <v>0.1485148514851485</v>
      </c>
      <c r="F26" s="31" t="inlineStr">
        <is>
          <t>🌱 自己啓発・マインド</t>
        </is>
      </c>
    </row>
    <row r="27" ht="22.05" customHeight="1" s="79">
      <c r="B27" s="32" t="inlineStr">
        <is>
          <t>22位</t>
        </is>
      </c>
      <c r="C27" s="33" t="inlineStr">
        <is>
          <t>ReHacQ−リハック−【公式】</t>
        </is>
      </c>
      <c r="D27" s="34" t="n">
        <v>118</v>
      </c>
      <c r="E27" s="108" t="n">
        <v>0.146039603960396</v>
      </c>
      <c r="F27" s="39" t="inlineStr">
        <is>
          <t>📰 ニュース・社会・政治</t>
        </is>
      </c>
    </row>
    <row r="28" ht="22.05" customHeight="1" s="79">
      <c r="B28" s="27" t="inlineStr">
        <is>
          <t>23位</t>
        </is>
      </c>
      <c r="C28" s="28" t="inlineStr">
        <is>
          <t>腰痛・肩こり駆け込み寺【山内義弘】</t>
        </is>
      </c>
      <c r="D28" s="29" t="n">
        <v>118</v>
      </c>
      <c r="E28" s="107" t="n">
        <v>0.146039603960396</v>
      </c>
      <c r="F28" s="51" t="inlineStr">
        <is>
          <t>💆 美容・健康・生活</t>
        </is>
      </c>
    </row>
    <row r="29" ht="22.05" customHeight="1" s="79">
      <c r="B29" s="32" t="inlineStr">
        <is>
          <t>24位</t>
        </is>
      </c>
      <c r="C29" s="33" t="inlineStr">
        <is>
          <t>THE FIRST TAKE</t>
        </is>
      </c>
      <c r="D29" s="34" t="n">
        <v>117</v>
      </c>
      <c r="E29" s="108" t="n">
        <v>0.1448019801980198</v>
      </c>
      <c r="F29" s="50" t="inlineStr">
        <is>
          <t>🎵 エンタメ・音楽・芸能</t>
        </is>
      </c>
    </row>
    <row r="30" ht="22.05" customHeight="1" s="79">
      <c r="B30" s="27" t="inlineStr">
        <is>
          <t>25位</t>
        </is>
      </c>
      <c r="C30" s="28" t="inlineStr">
        <is>
          <t>Dr. Zion Kabasawa</t>
        </is>
      </c>
      <c r="D30" s="29" t="n">
        <v>113</v>
      </c>
      <c r="E30" s="107" t="n">
        <v>0.1398514851485149</v>
      </c>
      <c r="F30" s="45" t="inlineStr">
        <is>
          <t>🧠 心理・メンタル</t>
        </is>
      </c>
    </row>
    <row r="31" ht="22.05" customHeight="1" s="79">
      <c r="B31" s="32" t="inlineStr">
        <is>
          <t>26位</t>
        </is>
      </c>
      <c r="C31" s="33" t="inlineStr">
        <is>
          <t>TBS NEWS DIG Powered by JNN</t>
        </is>
      </c>
      <c r="D31" s="34" t="n">
        <v>112</v>
      </c>
      <c r="E31" s="108" t="n">
        <v>0.1386138613861386</v>
      </c>
      <c r="F31" s="39" t="inlineStr">
        <is>
          <t>📰 ニュース・社会・政治</t>
        </is>
      </c>
    </row>
    <row r="32" ht="22.05" customHeight="1" s="79">
      <c r="B32" s="27" t="inlineStr">
        <is>
          <t>27位</t>
        </is>
      </c>
      <c r="C32" s="28" t="inlineStr">
        <is>
          <t>三崎優太 元青汁王子</t>
        </is>
      </c>
      <c r="D32" s="29" t="n">
        <v>112</v>
      </c>
      <c r="E32" s="107" t="n">
        <v>0.1386138613861386</v>
      </c>
      <c r="F32" s="31" t="inlineStr">
        <is>
          <t>💼 ビジネス・投資・お金</t>
        </is>
      </c>
    </row>
    <row r="33" ht="22.05" customHeight="1" s="79">
      <c r="B33" s="32" t="inlineStr">
        <is>
          <t>28位</t>
        </is>
      </c>
      <c r="C33" s="33" t="inlineStr">
        <is>
          <t>大人の学び直しTV</t>
        </is>
      </c>
      <c r="D33" s="34" t="n">
        <v>112</v>
      </c>
      <c r="E33" s="108" t="n">
        <v>0.1386138613861386</v>
      </c>
      <c r="F33" s="38" t="inlineStr">
        <is>
          <t>📚 読書・要約・教養</t>
        </is>
      </c>
    </row>
    <row r="34" ht="22.05" customHeight="1" s="79">
      <c r="B34" s="27" t="inlineStr">
        <is>
          <t>29位</t>
        </is>
      </c>
      <c r="C34" s="28" t="inlineStr">
        <is>
          <t>Captain AT Channel</t>
        </is>
      </c>
      <c r="D34" s="29" t="n">
        <v>111</v>
      </c>
      <c r="E34" s="107" t="n">
        <v>0.1373762376237624</v>
      </c>
      <c r="F34" s="31" t="inlineStr">
        <is>
          <t>🌱 自己啓発・マインド</t>
        </is>
      </c>
    </row>
    <row r="35" ht="22.05" customHeight="1" s="79">
      <c r="B35" s="32" t="inlineStr">
        <is>
          <t>30位</t>
        </is>
      </c>
      <c r="C35" s="33" t="inlineStr">
        <is>
          <t>ABEMA Prime #アベプラ【公式】</t>
        </is>
      </c>
      <c r="D35" s="34" t="n">
        <v>110</v>
      </c>
      <c r="E35" s="108" t="n">
        <v>0.1361386138613861</v>
      </c>
      <c r="F35" s="39" t="inlineStr">
        <is>
          <t>📰 ニュース・社会・政治</t>
        </is>
      </c>
    </row>
    <row r="36" ht="22.05" customHeight="1" s="79">
      <c r="B36" s="27" t="inlineStr">
        <is>
          <t>31位</t>
        </is>
      </c>
      <c r="C36" s="28" t="inlineStr">
        <is>
          <t>料理研究家リュウジのバズレシピ</t>
        </is>
      </c>
      <c r="D36" s="29" t="n">
        <v>110</v>
      </c>
      <c r="E36" s="107" t="n">
        <v>0.1361386138613861</v>
      </c>
      <c r="F36" s="51" t="inlineStr">
        <is>
          <t>💆 美容・健康・生活</t>
        </is>
      </c>
    </row>
    <row r="37" ht="22.05" customHeight="1" s="79">
      <c r="B37" s="32" t="inlineStr">
        <is>
          <t>32位</t>
        </is>
      </c>
      <c r="C37" s="33" t="inlineStr">
        <is>
          <t>コヤッキースタジオ</t>
        </is>
      </c>
      <c r="D37" s="34" t="n">
        <v>109</v>
      </c>
      <c r="E37" s="108" t="n">
        <v>0.1349009900990099</v>
      </c>
      <c r="F37" s="44" t="inlineStr">
        <is>
          <t>🔮 雑学・ミステリー・都市伝説</t>
        </is>
      </c>
    </row>
    <row r="38" ht="22.05" customHeight="1" s="79">
      <c r="B38" s="27" t="inlineStr">
        <is>
          <t>33位</t>
        </is>
      </c>
      <c r="C38" s="28" t="inlineStr">
        <is>
          <t>潜在意識ラボ / 純</t>
        </is>
      </c>
      <c r="D38" s="29" t="n">
        <v>107</v>
      </c>
      <c r="E38" s="107" t="n">
        <v>0.1324257425742574</v>
      </c>
      <c r="F38" s="52" t="inlineStr">
        <is>
          <t>✨ スピリチュアル・引き寄せ</t>
        </is>
      </c>
    </row>
    <row r="39" ht="22.05" customHeight="1" s="79">
      <c r="B39" s="32" t="inlineStr">
        <is>
          <t>34位</t>
        </is>
      </c>
      <c r="C39" s="33" t="inlineStr">
        <is>
          <t>Ken Honda 本田健</t>
        </is>
      </c>
      <c r="D39" s="34" t="n">
        <v>107</v>
      </c>
      <c r="E39" s="108" t="n">
        <v>0.1324257425742574</v>
      </c>
      <c r="F39" s="36" t="inlineStr">
        <is>
          <t>💼 ビジネス・投資・お金</t>
        </is>
      </c>
    </row>
    <row r="40" ht="22.05" customHeight="1" s="79">
      <c r="B40" s="27" t="inlineStr">
        <is>
          <t>35位</t>
        </is>
      </c>
      <c r="C40" s="28" t="inlineStr">
        <is>
          <t>楽待 RAKUMACHI</t>
        </is>
      </c>
      <c r="D40" s="29" t="n">
        <v>105</v>
      </c>
      <c r="E40" s="107" t="n">
        <v>0.129950495049505</v>
      </c>
      <c r="F40" s="49" t="inlineStr">
        <is>
          <t>💼 ビジネス・投資・お金</t>
        </is>
      </c>
    </row>
    <row r="41" ht="22.05" customHeight="1" s="79">
      <c r="B41" s="32" t="inlineStr">
        <is>
          <t>36位</t>
        </is>
      </c>
      <c r="C41" s="33" t="inlineStr">
        <is>
          <t>Life Changing School</t>
        </is>
      </c>
      <c r="D41" s="34" t="n">
        <v>105</v>
      </c>
      <c r="E41" s="108" t="n">
        <v>0.129950495049505</v>
      </c>
      <c r="F41" s="48" t="inlineStr">
        <is>
          <t>🌱 自己啓発・マインド</t>
        </is>
      </c>
    </row>
    <row r="42" ht="22.05" customHeight="1" s="79">
      <c r="B42" s="27" t="inlineStr">
        <is>
          <t>37位</t>
        </is>
      </c>
      <c r="C42" s="28" t="inlineStr">
        <is>
          <t>テレ東BIZ ダイジェスト</t>
        </is>
      </c>
      <c r="D42" s="29" t="n">
        <v>104</v>
      </c>
      <c r="E42" s="107" t="n">
        <v>0.1287128712871287</v>
      </c>
      <c r="F42" s="47" t="inlineStr">
        <is>
          <t>📰 ニュース・社会・政治</t>
        </is>
      </c>
    </row>
    <row r="43" ht="22.05" customHeight="1" s="79">
      <c r="B43" s="32" t="inlineStr">
        <is>
          <t>38位</t>
        </is>
      </c>
      <c r="C43" s="33" t="inlineStr">
        <is>
          <t>エガちゃんねる EGA-CHANNEL</t>
        </is>
      </c>
      <c r="D43" s="34" t="n">
        <v>103</v>
      </c>
      <c r="E43" s="108" t="n">
        <v>0.1274752475247525</v>
      </c>
      <c r="F43" s="50" t="inlineStr">
        <is>
          <t>🎵 エンタメ・音楽・芸能</t>
        </is>
      </c>
    </row>
    <row r="44" ht="22.05" customHeight="1" s="79">
      <c r="B44" s="27" t="inlineStr">
        <is>
          <t>39位</t>
        </is>
      </c>
      <c r="C44" s="28" t="inlineStr">
        <is>
          <t>ハッピー研究所</t>
        </is>
      </c>
      <c r="D44" s="29" t="n">
        <v>103</v>
      </c>
      <c r="E44" s="107" t="n">
        <v>0.1274752475247525</v>
      </c>
      <c r="F44" s="31" t="inlineStr">
        <is>
          <t>✨ スピリチュアル・引き寄せ</t>
        </is>
      </c>
    </row>
    <row r="45" ht="22.05" customHeight="1" s="79">
      <c r="B45" s="32" t="inlineStr">
        <is>
          <t>40位</t>
        </is>
      </c>
      <c r="C45" s="33" t="inlineStr">
        <is>
          <t>街録ch〜あなたの人生、教えて下さい〜</t>
        </is>
      </c>
      <c r="D45" s="34" t="n">
        <v>103</v>
      </c>
      <c r="E45" s="108" t="n">
        <v>0.1274752475247525</v>
      </c>
      <c r="F45" s="50" t="inlineStr">
        <is>
          <t>🎵 エンタメ・音楽・芸能</t>
        </is>
      </c>
    </row>
    <row r="46" ht="22.05" customHeight="1" s="79">
      <c r="B46" s="27" t="inlineStr">
        <is>
          <t>41位</t>
        </is>
      </c>
      <c r="C46" s="28" t="inlineStr">
        <is>
          <t>MEDITERRACE</t>
        </is>
      </c>
      <c r="D46" s="29" t="n">
        <v>102</v>
      </c>
      <c r="E46" s="107" t="n">
        <v>0.1262376237623762</v>
      </c>
      <c r="F46" s="51" t="inlineStr">
        <is>
          <t>💆 美容・健康・生活</t>
        </is>
      </c>
    </row>
    <row r="47" ht="22.05" customHeight="1" s="79">
      <c r="B47" s="32" t="inlineStr">
        <is>
          <t>42位</t>
        </is>
      </c>
      <c r="C47" s="33" t="inlineStr">
        <is>
          <t>ブライトサイド | Bright Side Japan</t>
        </is>
      </c>
      <c r="D47" s="34" t="n">
        <v>101</v>
      </c>
      <c r="E47" s="108" t="n">
        <v>0.125</v>
      </c>
      <c r="F47" s="44" t="inlineStr">
        <is>
          <t>🔮 雑学・ミステリー・都市伝説</t>
        </is>
      </c>
    </row>
    <row r="48" ht="22.05" customHeight="1" s="79">
      <c r="B48" s="27" t="inlineStr">
        <is>
          <t>43位</t>
        </is>
      </c>
      <c r="C48" s="28" t="inlineStr">
        <is>
          <t>ゆう先生の美容整体塾【京都の整体院悠】</t>
        </is>
      </c>
      <c r="D48" s="29" t="n">
        <v>100</v>
      </c>
      <c r="E48" s="107" t="n">
        <v>0.1237623762376238</v>
      </c>
      <c r="F48" s="51" t="inlineStr">
        <is>
          <t>💆 美容・健康・生活</t>
        </is>
      </c>
    </row>
    <row r="49" ht="22.05" customHeight="1" s="79">
      <c r="B49" s="32" t="inlineStr">
        <is>
          <t>44位</t>
        </is>
      </c>
      <c r="C49" s="33" t="inlineStr">
        <is>
          <t>アバタロー</t>
        </is>
      </c>
      <c r="D49" s="34" t="n">
        <v>98</v>
      </c>
      <c r="E49" s="108" t="n">
        <v>0.1212871287128713</v>
      </c>
      <c r="F49" s="38" t="inlineStr">
        <is>
          <t>📚 読書・要約・教養</t>
        </is>
      </c>
    </row>
    <row r="50" ht="22.05" customHeight="1" s="79">
      <c r="B50" s="27" t="inlineStr">
        <is>
          <t>45位</t>
        </is>
      </c>
      <c r="C50" s="28" t="inlineStr">
        <is>
          <t>Bappa Shota</t>
        </is>
      </c>
      <c r="D50" s="29" t="n">
        <v>98</v>
      </c>
      <c r="E50" s="107" t="n">
        <v>0.1212871287128713</v>
      </c>
      <c r="F50" s="31" t="inlineStr">
        <is>
          <t>🎵 エンタメ・音楽・芸能</t>
        </is>
      </c>
    </row>
    <row r="51" ht="22.05" customHeight="1" s="79">
      <c r="B51" s="32" t="inlineStr">
        <is>
          <t>46位</t>
        </is>
      </c>
      <c r="C51" s="33" t="inlineStr">
        <is>
          <t>HIROSHI IKI</t>
        </is>
      </c>
      <c r="D51" s="34" t="n">
        <v>96</v>
      </c>
      <c r="E51" s="108" t="n">
        <v>0.1188118811881188</v>
      </c>
      <c r="F51" s="48" t="inlineStr">
        <is>
          <t>🌱 自己啓発・マインド</t>
        </is>
      </c>
    </row>
    <row r="52" ht="22.05" customHeight="1" s="79">
      <c r="B52" s="27" t="inlineStr">
        <is>
          <t>47位</t>
        </is>
      </c>
      <c r="C52" s="28" t="inlineStr">
        <is>
          <t>VAIENCE バイエンス</t>
        </is>
      </c>
      <c r="D52" s="29" t="n">
        <v>95</v>
      </c>
      <c r="E52" s="107" t="n">
        <v>0.1175742574257426</v>
      </c>
      <c r="F52" s="53" t="inlineStr">
        <is>
          <t>🔬 科学・数学・テクノロジー</t>
        </is>
      </c>
    </row>
    <row r="53" ht="22.05" customHeight="1" s="79">
      <c r="B53" s="32" t="inlineStr">
        <is>
          <t>48位</t>
        </is>
      </c>
      <c r="C53" s="33" t="inlineStr">
        <is>
          <t>KUROMARU. Mystery</t>
        </is>
      </c>
      <c r="D53" s="34" t="n">
        <v>94</v>
      </c>
      <c r="E53" s="108" t="n">
        <v>0.1163366336633663</v>
      </c>
      <c r="F53" s="44" t="inlineStr">
        <is>
          <t>🔮 雑学・ミステリー・都市伝説</t>
        </is>
      </c>
    </row>
    <row r="54" ht="22.05" customHeight="1" s="79">
      <c r="B54" s="27" t="inlineStr">
        <is>
          <t>49位</t>
        </is>
      </c>
      <c r="C54" s="28" t="inlineStr">
        <is>
          <t>Honami</t>
        </is>
      </c>
      <c r="D54" s="29" t="n">
        <v>93</v>
      </c>
      <c r="E54" s="107" t="n">
        <v>0.1150990099009901</v>
      </c>
      <c r="F54" s="51" t="inlineStr">
        <is>
          <t>💆 美容・健康・生活</t>
        </is>
      </c>
    </row>
    <row r="55" ht="22.05" customHeight="1" s="79">
      <c r="B55" s="32" t="inlineStr">
        <is>
          <t>50位</t>
        </is>
      </c>
      <c r="C55" s="33" t="inlineStr">
        <is>
          <t>大愚和尚の一問一答/Osho Taigu’s Heart of Buddha</t>
        </is>
      </c>
      <c r="D55" s="34" t="n">
        <v>93</v>
      </c>
      <c r="E55" s="108" t="n">
        <v>0.1150990099009901</v>
      </c>
      <c r="F55" s="42" t="inlineStr">
        <is>
          <t>🌱 自己啓発・マインド</t>
        </is>
      </c>
    </row>
    <row r="57">
      <c r="B57" s="91" t="inlineStr">
        <is>
          <t>※ 登録者率 = 観測した視聴者808人のうち何人が登録しているか ÷ 808。ジャンルはチャンネルの内容を精査して分類（自動分類ではなく手動確認済み）。</t>
        </is>
      </c>
    </row>
  </sheetData>
  <mergeCells count="3">
    <mergeCell ref="B2:F2"/>
    <mergeCell ref="B57:F57"/>
    <mergeCell ref="B3:F3"/>
  </mergeCells>
  <conditionalFormatting sqref="E6:E55">
    <cfRule type="dataBar" priority="1">
      <dataBar>
        <cfvo type="num" val="0"/>
        <cfvo type="max"/>
        <color rgb="FF1A56DB"/>
      </dataBar>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0E9F6E"/>
    <outlinePr summaryBelow="1" summaryRight="1"/>
    <pageSetUpPr/>
  </sheetPr>
  <dimension ref="A1:E18"/>
  <sheetViews>
    <sheetView showGridLines="0" workbookViewId="0">
      <selection activeCell="A1" sqref="A1"/>
    </sheetView>
  </sheetViews>
  <sheetFormatPr baseColWidth="8" defaultRowHeight="12.75"/>
  <cols>
    <col width="2" customWidth="1" style="79" min="1" max="1"/>
    <col width="26" customWidth="1" style="79" min="2" max="2"/>
    <col width="13" customWidth="1" style="79" min="3" max="3"/>
    <col width="17" customWidth="1" style="79" min="4" max="4"/>
    <col width="15" customWidth="1" style="79" min="5" max="5"/>
  </cols>
  <sheetData>
    <row r="1" ht="5" customHeight="1" s="79">
      <c r="A1" s="109" t="n"/>
      <c r="B1" s="109" t="n"/>
      <c r="C1" s="109" t="n"/>
      <c r="D1" s="109" t="n"/>
      <c r="E1" s="109" t="n"/>
    </row>
    <row r="2" ht="38" customHeight="1" s="79">
      <c r="A2" s="109" t="n"/>
      <c r="B2" s="110" t="inlineStr">
        <is>
          <t>② 視聴者が興味を持っているジャンルの内訳（Top150チャンネル分析）</t>
        </is>
      </c>
    </row>
    <row r="3" ht="40.05" customHeight="1" s="79">
      <c r="A3" s="109" t="n"/>
      <c r="B3" s="111" t="inlineStr">
        <is>
          <t>視聴者がよく見るTop150チャンネルを内容ジャンル別に整理（10ジャンルに深堀り分類、未分類0件）。最大は「ビジネス・投資・お金」、次いで「スピリチュアル・引き寄せ」が続く。</t>
        </is>
      </c>
    </row>
    <row r="4" ht="10.05" customHeight="1" s="79">
      <c r="A4" s="109" t="n"/>
      <c r="B4" s="109" t="n"/>
      <c r="C4" s="109" t="n"/>
      <c r="D4" s="109" t="n"/>
      <c r="E4" s="109" t="n"/>
    </row>
    <row r="5" ht="28.05" customHeight="1" s="79">
      <c r="A5" s="109" t="n"/>
      <c r="B5" s="55" t="inlineStr">
        <is>
          <t>ジャンル</t>
        </is>
      </c>
      <c r="C5" s="55" t="inlineStr">
        <is>
          <t>チャンネル数</t>
        </is>
      </c>
      <c r="D5" s="55" t="inlineStr">
        <is>
          <t>視聴者の登録数
（延べ人数）</t>
        </is>
      </c>
      <c r="E5" s="55" t="inlineStr">
        <is>
          <t>このジャンルの
占める割合</t>
        </is>
      </c>
    </row>
    <row r="6" ht="26" customHeight="1" s="79">
      <c r="A6" s="109" t="n"/>
      <c r="B6" s="112" t="inlineStr">
        <is>
          <t>💼 ビジネス・投資・お金</t>
        </is>
      </c>
      <c r="C6" s="29" t="n">
        <v>25</v>
      </c>
      <c r="D6" s="29" t="n">
        <v>2447</v>
      </c>
      <c r="E6" s="105" t="n">
        <v>0.1778860133759814</v>
      </c>
    </row>
    <row r="7" ht="26" customHeight="1" s="79">
      <c r="A7" s="109" t="n"/>
      <c r="B7" s="113" t="inlineStr">
        <is>
          <t>✨ スピリチュアル・引き寄せ</t>
        </is>
      </c>
      <c r="C7" s="34" t="n">
        <v>25</v>
      </c>
      <c r="D7" s="34" t="n">
        <v>1958</v>
      </c>
      <c r="E7" s="106" t="n">
        <v>0.142337888921198</v>
      </c>
    </row>
    <row r="8" ht="26" customHeight="1" s="79">
      <c r="A8" s="109" t="n"/>
      <c r="B8" s="112" t="inlineStr">
        <is>
          <t>🌱 自己啓発・マインド</t>
        </is>
      </c>
      <c r="C8" s="29" t="n">
        <v>15</v>
      </c>
      <c r="D8" s="29" t="n">
        <v>1774</v>
      </c>
      <c r="E8" s="105" t="n">
        <v>0.1289619075312591</v>
      </c>
    </row>
    <row r="9" ht="26" customHeight="1" s="79">
      <c r="A9" s="109" t="n"/>
      <c r="B9" s="113" t="inlineStr">
        <is>
          <t>📚 読書・要約・教養</t>
        </is>
      </c>
      <c r="C9" s="34" t="n">
        <v>14</v>
      </c>
      <c r="D9" s="34" t="n">
        <v>1575</v>
      </c>
      <c r="E9" s="106" t="n">
        <v>0.114495492875836</v>
      </c>
    </row>
    <row r="10" ht="26" customHeight="1" s="79">
      <c r="A10" s="109" t="n"/>
      <c r="B10" s="112" t="inlineStr">
        <is>
          <t>🔮 雑学・ミステリー・都市伝説</t>
        </is>
      </c>
      <c r="C10" s="29" t="n">
        <v>14</v>
      </c>
      <c r="D10" s="29" t="n">
        <v>1316</v>
      </c>
      <c r="E10" s="105" t="n">
        <v>0.0956673451584763</v>
      </c>
    </row>
    <row r="11" ht="26" customHeight="1" s="79">
      <c r="A11" s="109" t="n"/>
      <c r="B11" s="113" t="inlineStr">
        <is>
          <t>🎵 エンタメ・音楽・芸能</t>
        </is>
      </c>
      <c r="C11" s="34" t="n">
        <v>16</v>
      </c>
      <c r="D11" s="34" t="n">
        <v>1260</v>
      </c>
      <c r="E11" s="106" t="n">
        <v>0.09159639430066879</v>
      </c>
    </row>
    <row r="12" ht="26" customHeight="1" s="79">
      <c r="A12" s="109" t="n"/>
      <c r="B12" s="112" t="inlineStr">
        <is>
          <t>💆 美容・健康・生活</t>
        </is>
      </c>
      <c r="C12" s="29" t="n">
        <v>15</v>
      </c>
      <c r="D12" s="29" t="n">
        <v>1183</v>
      </c>
      <c r="E12" s="105" t="n">
        <v>0.08599883687118348</v>
      </c>
    </row>
    <row r="13" ht="26" customHeight="1" s="79">
      <c r="A13" s="109" t="n"/>
      <c r="B13" s="113" t="inlineStr">
        <is>
          <t>📰 ニュース・社会・政治</t>
        </is>
      </c>
      <c r="C13" s="34" t="n">
        <v>14</v>
      </c>
      <c r="D13" s="34" t="n">
        <v>1146</v>
      </c>
      <c r="E13" s="106" t="n">
        <v>0.08330910148298924</v>
      </c>
    </row>
    <row r="14">
      <c r="A14" s="109" t="n"/>
      <c r="B14" s="114" t="inlineStr">
        <is>
          <t>🧠 心理・メンタル</t>
        </is>
      </c>
      <c r="C14" s="115" t="n">
        <v>7</v>
      </c>
      <c r="D14" s="115" t="n">
        <v>643</v>
      </c>
      <c r="E14" s="116" t="n">
        <v>0.046743239313754</v>
      </c>
    </row>
    <row r="15">
      <c r="A15" s="109" t="n"/>
      <c r="B15" s="117" t="inlineStr">
        <is>
          <t>🔬 科学・数学・テクノロジー</t>
        </is>
      </c>
      <c r="C15" s="118" t="n">
        <v>5</v>
      </c>
      <c r="D15" s="118" t="n">
        <v>454</v>
      </c>
      <c r="E15" s="119" t="n">
        <v>0.03300378016865368</v>
      </c>
    </row>
    <row r="16">
      <c r="B16" s="120" t="inlineStr">
        <is>
          <t>合計（全Top150・未分類0）</t>
        </is>
      </c>
      <c r="C16" s="121" t="n">
        <v>150</v>
      </c>
      <c r="D16" s="121" t="n">
        <v>13756</v>
      </c>
      <c r="E16" s="122" t="n">
        <v>1</v>
      </c>
    </row>
    <row r="18" ht="46" customHeight="1" s="79">
      <c r="B18" s="123" t="inlineStr">
        <is>
          <t>※ ジャンルはチャンネル名のキーワード辞書＋著名チャンネルの手動対応表で推定（推定分類であり厳密なジャンル定義ではない）。従来版は7ジャンルで89ch・6,767リンクが「未分類」だったが、10ジャンルへ深堀りし未分類を0件に改善した。延べ人数＝そのジャンルの各chを登録する視聴者数の合計。</t>
        </is>
      </c>
    </row>
  </sheetData>
  <mergeCells count="3">
    <mergeCell ref="B18:E18"/>
    <mergeCell ref="B3:E3"/>
    <mergeCell ref="B2:E2"/>
  </mergeCells>
  <conditionalFormatting sqref="D6:D12">
    <cfRule type="dataBar" priority="1">
      <dataBar>
        <cfvo type="num" val="0"/>
        <cfvo type="max"/>
        <color rgb="FF0E9F6E"/>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D97706"/>
    <outlinePr summaryBelow="1" summaryRight="1"/>
    <pageSetUpPr/>
  </sheetPr>
  <dimension ref="B1:G51"/>
  <sheetViews>
    <sheetView showGridLines="0" workbookViewId="0">
      <pane xSplit="1" ySplit="8" topLeftCell="C9" activePane="bottomRight" state="frozen"/>
      <selection pane="topRight" activeCell="A1" sqref="A1"/>
      <selection pane="bottomLeft" activeCell="A1" sqref="A1"/>
      <selection pane="bottomRight" activeCell="H10" sqref="H10"/>
    </sheetView>
  </sheetViews>
  <sheetFormatPr baseColWidth="8" defaultRowHeight="12.75"/>
  <cols>
    <col width="2" customWidth="1" style="79" min="1" max="1"/>
    <col width="6" customWidth="1" style="79" min="2" max="2"/>
    <col width="34" customWidth="1" style="79" min="3" max="3"/>
    <col width="13" customWidth="1" style="79" min="4" max="4"/>
    <col width="14" customWidth="1" style="79" min="5" max="5"/>
    <col width="17" customWidth="1" style="79" min="6" max="6"/>
    <col width="14" customWidth="1" style="79" min="7" max="7"/>
  </cols>
  <sheetData>
    <row r="1" ht="5" customHeight="1" s="79">
      <c r="B1" s="59" t="n"/>
      <c r="C1" s="59" t="n"/>
      <c r="D1" s="59" t="n"/>
      <c r="E1" s="59" t="n"/>
      <c r="F1" s="59" t="n"/>
      <c r="G1" s="59" t="n"/>
    </row>
    <row r="2" ht="38" customHeight="1" s="79">
      <c r="B2" s="93" t="inlineStr">
        <is>
          <t>③ 隠れた相性チャンネル Top40 ── 「小規模でも本チャンネルの視聴者にだけ異常に選ばれているチャンネル」</t>
        </is>
      </c>
    </row>
    <row r="3" ht="55.05" customHeight="1" s="79">
      <c r="B3" s="103" t="inlineStr">
        <is>
          <t>【「隠れた相性スコア」とは？】
YouTube全体で平均的に登録されている確率を「1倍」として、本チャンネルの視聴者がそのチャンネルを「何倍の確率」で登録しているかを示したスコアです。
例）スコア181倍 ＝「世界のドコかでひきこもり」は一般ユーザーに比べて本チャンネル視聴者が181倍の確率で登録している。
登録者数が多い有名チャンネルは「みんなが見ているから」登録されやすく、このスコアが低くなります。小規模でもスコアが高いチャンネルこそ、本チャンネルの視聴者と「本当に相性が良い」チャンネルです。</t>
        </is>
      </c>
      <c r="C3" s="124" t="n"/>
      <c r="D3" s="124" t="n"/>
      <c r="E3" s="124" t="n"/>
      <c r="F3" s="124" t="n"/>
      <c r="G3" s="125" t="n"/>
    </row>
    <row r="4" ht="10.05" customHeight="1" s="79"/>
    <row r="5" ht="26" customHeight="1" s="79">
      <c r="B5" s="95" t="inlineStr">
        <is>
          <t>💡 なぜ「人気」だけでは不十分なのか？</t>
        </is>
      </c>
    </row>
    <row r="6" ht="32" customHeight="1" s="79">
      <c r="B6" s="102" t="inlineStr">
        <is>
          <t>たとえば「ヒカキン」は登録者数が多くても、それは「日本人の多くが知っているから」であり、本チャンネルの視聴者だけが特別に選んでいるわけではありません。一方、小規模なスピリチュアル系チャンネルが「本チャンネル視聴者の中だけで高い登録率」を示している場合、それが本当に視聴者の深い関心を反映しているサインです。</t>
        </is>
      </c>
    </row>
    <row r="7" ht="10.05" customHeight="1" s="79"/>
    <row r="8" ht="28.05" customHeight="1" s="79">
      <c r="B8" s="60" t="inlineStr">
        <is>
          <t>順位</t>
        </is>
      </c>
      <c r="C8" s="60" t="inlineStr">
        <is>
          <t>チャンネル名</t>
        </is>
      </c>
      <c r="D8" s="60" t="inlineStr">
        <is>
          <t>登録している
視聴者数（人）</t>
        </is>
      </c>
      <c r="E8" s="60" t="inlineStr">
        <is>
          <t>登録者率
（%）</t>
        </is>
      </c>
      <c r="F8" s="60" t="inlineStr">
        <is>
          <t>推定総登録者数
（チャンネル全体）</t>
        </is>
      </c>
      <c r="G8" s="60" t="inlineStr">
        <is>
          <t>隠れた相性
スコア（倍）</t>
        </is>
      </c>
    </row>
    <row r="9" ht="22.05" customHeight="1" s="79">
      <c r="B9" s="27" t="inlineStr">
        <is>
          <t>🥇 1位</t>
        </is>
      </c>
      <c r="C9" s="28" t="inlineStr">
        <is>
          <t>世界のドコかでひきこもり</t>
        </is>
      </c>
      <c r="D9" s="29" t="n">
        <v>17</v>
      </c>
      <c r="E9" s="107" t="n">
        <v>0.021039603960396</v>
      </c>
      <c r="F9" s="29" t="n">
        <v>1320</v>
      </c>
      <c r="G9" s="126" t="n">
        <v>181</v>
      </c>
    </row>
    <row r="10" ht="22.05" customHeight="1" s="79">
      <c r="B10" s="32" t="inlineStr">
        <is>
          <t>🥈 2位</t>
        </is>
      </c>
      <c r="C10" s="33" t="inlineStr">
        <is>
          <t>イヌヤマのジブン研究所</t>
        </is>
      </c>
      <c r="D10" s="34" t="n">
        <v>13</v>
      </c>
      <c r="E10" s="108" t="n">
        <v>0.016089108910891</v>
      </c>
      <c r="F10" s="34" t="n">
        <v>2940</v>
      </c>
      <c r="G10" s="127" t="n">
        <v>62.1</v>
      </c>
    </row>
    <row r="11" ht="22.05" customHeight="1" s="79">
      <c r="B11" s="27" t="inlineStr">
        <is>
          <t>🥉 3位</t>
        </is>
      </c>
      <c r="C11" s="28" t="inlineStr">
        <is>
          <t>箱舟Noa</t>
        </is>
      </c>
      <c r="D11" s="29" t="n">
        <v>13</v>
      </c>
      <c r="E11" s="107" t="n">
        <v>0.016089108910891</v>
      </c>
      <c r="F11" s="29" t="n">
        <v>3650</v>
      </c>
      <c r="G11" s="126" t="n">
        <v>50</v>
      </c>
    </row>
    <row r="12" ht="22.05" customHeight="1" s="79">
      <c r="B12" s="32" t="inlineStr">
        <is>
          <t>4位</t>
        </is>
      </c>
      <c r="C12" s="33" t="inlineStr">
        <is>
          <t>VISIONARY.思考は現実を変える。</t>
        </is>
      </c>
      <c r="D12" s="34" t="n">
        <v>18</v>
      </c>
      <c r="E12" s="108" t="n">
        <v>0.0222772277227722</v>
      </c>
      <c r="F12" s="34" t="n">
        <v>5910</v>
      </c>
      <c r="G12" s="128" t="n">
        <v>42.8</v>
      </c>
    </row>
    <row r="13" ht="22.05" customHeight="1" s="79">
      <c r="B13" s="27" t="inlineStr">
        <is>
          <t>5位</t>
        </is>
      </c>
      <c r="C13" s="28" t="inlineStr">
        <is>
          <t>超意識スピリチュアル byメタ意識願望実現マスターCocco</t>
        </is>
      </c>
      <c r="D13" s="29" t="n">
        <v>18</v>
      </c>
      <c r="E13" s="107" t="n">
        <v>0.0222772277227722</v>
      </c>
      <c r="F13" s="29" t="n">
        <v>6580</v>
      </c>
      <c r="G13" s="129" t="n">
        <v>38.4</v>
      </c>
    </row>
    <row r="14" ht="22.05" customHeight="1" s="79">
      <c r="B14" s="32" t="inlineStr">
        <is>
          <t>6位</t>
        </is>
      </c>
      <c r="C14" s="33" t="inlineStr">
        <is>
          <t>エム</t>
        </is>
      </c>
      <c r="D14" s="34" t="n">
        <v>11</v>
      </c>
      <c r="E14" s="108" t="n">
        <v>0.0136138613861386</v>
      </c>
      <c r="F14" s="34" t="n">
        <v>4220</v>
      </c>
      <c r="G14" s="128" t="n">
        <v>36.6</v>
      </c>
    </row>
    <row r="15" ht="22.05" customHeight="1" s="79">
      <c r="B15" s="27" t="inlineStr">
        <is>
          <t>7位</t>
        </is>
      </c>
      <c r="C15" s="28" t="inlineStr">
        <is>
          <t>Manifestation Channel: Live the Life You Desire</t>
        </is>
      </c>
      <c r="D15" s="29" t="n">
        <v>20</v>
      </c>
      <c r="E15" s="107" t="n">
        <v>0.0247524752475247</v>
      </c>
      <c r="F15" s="29" t="n">
        <v>7770</v>
      </c>
      <c r="G15" s="129" t="n">
        <v>36.2</v>
      </c>
    </row>
    <row r="16" ht="22.05" customHeight="1" s="79">
      <c r="B16" s="32" t="inlineStr">
        <is>
          <t>8位</t>
        </is>
      </c>
      <c r="C16" s="33" t="inlineStr">
        <is>
          <t>本要約カフェ</t>
        </is>
      </c>
      <c r="D16" s="34" t="n">
        <v>11</v>
      </c>
      <c r="E16" s="108" t="n">
        <v>0.0136138613861386</v>
      </c>
      <c r="F16" s="34" t="n">
        <v>4280</v>
      </c>
      <c r="G16" s="128" t="n">
        <v>36.1</v>
      </c>
    </row>
    <row r="17" ht="22.05" customHeight="1" s="79">
      <c r="B17" s="27" t="inlineStr">
        <is>
          <t>9位</t>
        </is>
      </c>
      <c r="C17" s="28" t="inlineStr">
        <is>
          <t>タフティ【TUFTI】巫女のイシス神殿</t>
        </is>
      </c>
      <c r="D17" s="29" t="n">
        <v>10</v>
      </c>
      <c r="E17" s="107" t="n">
        <v>0.0123762376237623</v>
      </c>
      <c r="F17" s="29" t="n">
        <v>3940</v>
      </c>
      <c r="G17" s="129" t="n">
        <v>35.7</v>
      </c>
    </row>
    <row r="18" ht="22.05" customHeight="1" s="79">
      <c r="B18" s="32" t="inlineStr">
        <is>
          <t>10位</t>
        </is>
      </c>
      <c r="C18" s="33" t="inlineStr">
        <is>
          <t>潜在意識コンサルタント・いっちー</t>
        </is>
      </c>
      <c r="D18" s="34" t="n">
        <v>14</v>
      </c>
      <c r="E18" s="108" t="n">
        <v>0.0173267326732673</v>
      </c>
      <c r="F18" s="34" t="n">
        <v>5540</v>
      </c>
      <c r="G18" s="128" t="n">
        <v>35.5</v>
      </c>
    </row>
    <row r="19" ht="22.05" customHeight="1" s="79">
      <c r="B19" s="27" t="inlineStr">
        <is>
          <t>11位</t>
        </is>
      </c>
      <c r="C19" s="28" t="inlineStr">
        <is>
          <t>もちづき | 引き寄せを実現するノート学</t>
        </is>
      </c>
      <c r="D19" s="29" t="n">
        <v>24</v>
      </c>
      <c r="E19" s="107" t="n">
        <v>0.0297029702970297</v>
      </c>
      <c r="F19" s="29" t="n">
        <v>9620</v>
      </c>
      <c r="G19" s="129" t="n">
        <v>35.1</v>
      </c>
    </row>
    <row r="20" ht="22.05" customHeight="1" s="79">
      <c r="B20" s="32" t="inlineStr">
        <is>
          <t>12位</t>
        </is>
      </c>
      <c r="C20" s="33" t="inlineStr">
        <is>
          <t>オーロラガーデン</t>
        </is>
      </c>
      <c r="D20" s="34" t="n">
        <v>12</v>
      </c>
      <c r="E20" s="108" t="n">
        <v>0.0148514851485148</v>
      </c>
      <c r="F20" s="34" t="n">
        <v>4860</v>
      </c>
      <c r="G20" s="128" t="n">
        <v>34.7</v>
      </c>
    </row>
    <row r="21" ht="22.05" customHeight="1" s="79">
      <c r="B21" s="27" t="inlineStr">
        <is>
          <t>13位</t>
        </is>
      </c>
      <c r="C21" s="28" t="inlineStr">
        <is>
          <t>トランサーフィン研究所</t>
        </is>
      </c>
      <c r="D21" s="29" t="n">
        <v>10</v>
      </c>
      <c r="E21" s="107" t="n">
        <v>0.0123762376237623</v>
      </c>
      <c r="F21" s="29" t="n">
        <v>4080</v>
      </c>
      <c r="G21" s="129" t="n">
        <v>34.4</v>
      </c>
    </row>
    <row r="22" ht="22.05" customHeight="1" s="79">
      <c r="B22" s="32" t="inlineStr">
        <is>
          <t>14位</t>
        </is>
      </c>
      <c r="C22" s="33" t="inlineStr">
        <is>
          <t>有馬樹里 脳科学研究家</t>
        </is>
      </c>
      <c r="D22" s="34" t="n">
        <v>31</v>
      </c>
      <c r="E22" s="108" t="n">
        <v>0.0383663366336633</v>
      </c>
      <c r="F22" s="34" t="n">
        <v>12800</v>
      </c>
      <c r="G22" s="128" t="n">
        <v>34</v>
      </c>
    </row>
    <row r="23" ht="22.05" customHeight="1" s="79">
      <c r="B23" s="27" t="inlineStr">
        <is>
          <t>15位</t>
        </is>
      </c>
      <c r="C23" s="28" t="inlineStr">
        <is>
          <t>苫米地英人博士の教え</t>
        </is>
      </c>
      <c r="D23" s="29" t="n">
        <v>17</v>
      </c>
      <c r="E23" s="107" t="n">
        <v>0.021039603960396</v>
      </c>
      <c r="F23" s="29" t="n">
        <v>7100</v>
      </c>
      <c r="G23" s="129" t="n">
        <v>33.6</v>
      </c>
    </row>
    <row r="24" ht="22.05" customHeight="1" s="79">
      <c r="B24" s="32" t="inlineStr">
        <is>
          <t>16位</t>
        </is>
      </c>
      <c r="C24" s="33" t="inlineStr">
        <is>
          <t>強者の道【モチベーションアップ】</t>
        </is>
      </c>
      <c r="D24" s="34" t="n">
        <v>16</v>
      </c>
      <c r="E24" s="108" t="n">
        <v>0.0198019801980198</v>
      </c>
      <c r="F24" s="34" t="n">
        <v>7060</v>
      </c>
      <c r="G24" s="128" t="n">
        <v>31.8</v>
      </c>
    </row>
    <row r="25" ht="22.05" customHeight="1" s="79">
      <c r="B25" s="27" t="inlineStr">
        <is>
          <t>17位</t>
        </is>
      </c>
      <c r="C25" s="28" t="inlineStr">
        <is>
          <t>きたの先生 | 日本一ロジカルな潜在意識の活用法🌏</t>
        </is>
      </c>
      <c r="D25" s="29" t="n">
        <v>42</v>
      </c>
      <c r="E25" s="107" t="n">
        <v>0.0519801980198019</v>
      </c>
      <c r="F25" s="29" t="n">
        <v>19200</v>
      </c>
      <c r="G25" s="129" t="n">
        <v>30.7</v>
      </c>
    </row>
    <row r="26" ht="22.05" customHeight="1" s="79">
      <c r="B26" s="32" t="inlineStr">
        <is>
          <t>18位</t>
        </is>
      </c>
      <c r="C26" s="33" t="inlineStr">
        <is>
          <t>2ch不思議の森</t>
        </is>
      </c>
      <c r="D26" s="34" t="n">
        <v>11</v>
      </c>
      <c r="E26" s="108" t="n">
        <v>0.0136138613861386</v>
      </c>
      <c r="F26" s="34" t="n">
        <v>5050</v>
      </c>
      <c r="G26" s="128" t="n">
        <v>30.6</v>
      </c>
    </row>
    <row r="27" ht="22.05" customHeight="1" s="79">
      <c r="B27" s="27" t="inlineStr">
        <is>
          <t>19位</t>
        </is>
      </c>
      <c r="C27" s="28" t="inlineStr">
        <is>
          <t>リアトラQNA</t>
        </is>
      </c>
      <c r="D27" s="29" t="n">
        <v>11</v>
      </c>
      <c r="E27" s="107" t="n">
        <v>0.0136138613861386</v>
      </c>
      <c r="F27" s="29" t="n">
        <v>5060</v>
      </c>
      <c r="G27" s="129" t="n">
        <v>30.5</v>
      </c>
    </row>
    <row r="28" ht="22.05" customHeight="1" s="79">
      <c r="B28" s="32" t="inlineStr">
        <is>
          <t>20位</t>
        </is>
      </c>
      <c r="C28" s="33" t="inlineStr">
        <is>
          <t>ザ・ルール 【人生の攻略法】</t>
        </is>
      </c>
      <c r="D28" s="34" t="n">
        <v>53</v>
      </c>
      <c r="E28" s="108" t="n">
        <v>0.0655940594059406</v>
      </c>
      <c r="F28" s="34" t="n">
        <v>24400</v>
      </c>
      <c r="G28" s="128" t="n">
        <v>30.5</v>
      </c>
    </row>
    <row r="29" ht="22.05" customHeight="1" s="79">
      <c r="B29" s="27" t="inlineStr">
        <is>
          <t>21位</t>
        </is>
      </c>
      <c r="C29" s="28" t="inlineStr">
        <is>
          <t>みほチャンネル【幸せになれる女の思考】</t>
        </is>
      </c>
      <c r="D29" s="29" t="n">
        <v>15</v>
      </c>
      <c r="E29" s="107" t="n">
        <v>0.0185643564356435</v>
      </c>
      <c r="F29" s="29" t="n">
        <v>7200</v>
      </c>
      <c r="G29" s="130" t="n">
        <v>29.3</v>
      </c>
    </row>
    <row r="30" ht="22.05" customHeight="1" s="79">
      <c r="B30" s="32" t="inlineStr">
        <is>
          <t>22位</t>
        </is>
      </c>
      <c r="C30" s="33" t="inlineStr">
        <is>
          <t>潜在意識の本質 らいが</t>
        </is>
      </c>
      <c r="D30" s="34" t="n">
        <v>40</v>
      </c>
      <c r="E30" s="108" t="n">
        <v>0.0495049504950495</v>
      </c>
      <c r="F30" s="34" t="n">
        <v>19400</v>
      </c>
      <c r="G30" s="131" t="n">
        <v>29</v>
      </c>
    </row>
    <row r="31" ht="22.05" customHeight="1" s="79">
      <c r="B31" s="27" t="inlineStr">
        <is>
          <t>23位</t>
        </is>
      </c>
      <c r="C31" s="28" t="inlineStr">
        <is>
          <t>【ゆっくり引き寄せ解説】億らす</t>
        </is>
      </c>
      <c r="D31" s="29" t="n">
        <v>36</v>
      </c>
      <c r="E31" s="107" t="n">
        <v>0.0445544554455445</v>
      </c>
      <c r="F31" s="29" t="n">
        <v>17700</v>
      </c>
      <c r="G31" s="130" t="n">
        <v>28.6</v>
      </c>
    </row>
    <row r="32" ht="22.05" customHeight="1" s="79">
      <c r="B32" s="32" t="inlineStr">
        <is>
          <t>24位</t>
        </is>
      </c>
      <c r="C32" s="33" t="inlineStr">
        <is>
          <t>西田文郎公式チャンネル</t>
        </is>
      </c>
      <c r="D32" s="34" t="n">
        <v>47</v>
      </c>
      <c r="E32" s="108" t="n">
        <v>0.0581683168316831</v>
      </c>
      <c r="F32" s="34" t="n">
        <v>23500</v>
      </c>
      <c r="G32" s="131" t="n">
        <v>28.1</v>
      </c>
    </row>
    <row r="33" ht="22.05" customHeight="1" s="79">
      <c r="B33" s="27" t="inlineStr">
        <is>
          <t>25位</t>
        </is>
      </c>
      <c r="C33" s="28" t="inlineStr">
        <is>
          <t>夢実現チャンネル-Y.K</t>
        </is>
      </c>
      <c r="D33" s="29" t="n">
        <v>10</v>
      </c>
      <c r="E33" s="107" t="n">
        <v>0.0123762376237623</v>
      </c>
      <c r="F33" s="29" t="n">
        <v>5050</v>
      </c>
      <c r="G33" s="130" t="n">
        <v>27.8</v>
      </c>
    </row>
    <row r="34" ht="22.05" customHeight="1" s="79">
      <c r="B34" s="32" t="inlineStr">
        <is>
          <t>26位</t>
        </is>
      </c>
      <c r="C34" s="33" t="inlineStr">
        <is>
          <t>しろ先生🌙潜在意識の専門家</t>
        </is>
      </c>
      <c r="D34" s="34" t="n">
        <v>20</v>
      </c>
      <c r="E34" s="108" t="n">
        <v>0.0247524752475247</v>
      </c>
      <c r="F34" s="34" t="n">
        <v>10500</v>
      </c>
      <c r="G34" s="131" t="n">
        <v>26.8</v>
      </c>
    </row>
    <row r="35" ht="22.05" customHeight="1" s="79">
      <c r="B35" s="27" t="inlineStr">
        <is>
          <t>27位</t>
        </is>
      </c>
      <c r="C35" s="28" t="inlineStr">
        <is>
          <t>次元越境 × Zero Point - Shunpeter Z</t>
        </is>
      </c>
      <c r="D35" s="29" t="n">
        <v>25</v>
      </c>
      <c r="E35" s="107" t="n">
        <v>0.0309405940594059</v>
      </c>
      <c r="F35" s="29" t="n">
        <v>13400</v>
      </c>
      <c r="G35" s="130" t="n">
        <v>26.2</v>
      </c>
    </row>
    <row r="36" ht="22.05" customHeight="1" s="79">
      <c r="B36" s="32" t="inlineStr">
        <is>
          <t>28位</t>
        </is>
      </c>
      <c r="C36" s="33" t="inlineStr">
        <is>
          <t>苫米地英人の一言コーチング</t>
        </is>
      </c>
      <c r="D36" s="34" t="n">
        <v>25</v>
      </c>
      <c r="E36" s="108" t="n">
        <v>0.0309405940594059</v>
      </c>
      <c r="F36" s="34" t="n">
        <v>13500</v>
      </c>
      <c r="G36" s="131" t="n">
        <v>26</v>
      </c>
    </row>
    <row r="37" ht="22.05" customHeight="1" s="79">
      <c r="B37" s="27" t="inlineStr">
        <is>
          <t>29位</t>
        </is>
      </c>
      <c r="C37" s="28" t="inlineStr">
        <is>
          <t>クロノ【コンテンツ販売研究所】</t>
        </is>
      </c>
      <c r="D37" s="29" t="n">
        <v>10</v>
      </c>
      <c r="E37" s="107" t="n">
        <v>0.0123762376237623</v>
      </c>
      <c r="F37" s="29" t="n">
        <v>5450</v>
      </c>
      <c r="G37" s="130" t="n">
        <v>25.8</v>
      </c>
    </row>
    <row r="38" ht="22.05" customHeight="1" s="79">
      <c r="B38" s="32" t="inlineStr">
        <is>
          <t>30位</t>
        </is>
      </c>
      <c r="C38" s="33" t="inlineStr">
        <is>
          <t xml:space="preserve">潜在意識の調律師 チューン </t>
        </is>
      </c>
      <c r="D38" s="34" t="n">
        <v>25</v>
      </c>
      <c r="E38" s="108" t="n">
        <v>0.0309405940594059</v>
      </c>
      <c r="F38" s="34" t="n">
        <v>14000</v>
      </c>
      <c r="G38" s="131" t="n">
        <v>25.1</v>
      </c>
    </row>
    <row r="39" ht="22.05" customHeight="1" s="79">
      <c r="B39" s="27" t="inlineStr">
        <is>
          <t>31位</t>
        </is>
      </c>
      <c r="C39" s="28" t="inlineStr">
        <is>
          <t>あおいの幸せ引き寄せ波動ラボ</t>
        </is>
      </c>
      <c r="D39" s="29" t="n">
        <v>47</v>
      </c>
      <c r="E39" s="107" t="n">
        <v>0.0581683168316831</v>
      </c>
      <c r="F39" s="29" t="n">
        <v>26400</v>
      </c>
      <c r="G39" s="130" t="n">
        <v>25</v>
      </c>
    </row>
    <row r="40" ht="22.05" customHeight="1" s="79">
      <c r="B40" s="32" t="inlineStr">
        <is>
          <t>32位</t>
        </is>
      </c>
      <c r="C40" s="33" t="inlineStr">
        <is>
          <t>脳力開発コーチ　KEIKO先生</t>
        </is>
      </c>
      <c r="D40" s="34" t="n">
        <v>15</v>
      </c>
      <c r="E40" s="108" t="n">
        <v>0.0185643564356435</v>
      </c>
      <c r="F40" s="34" t="n">
        <v>8440</v>
      </c>
      <c r="G40" s="131" t="n">
        <v>25</v>
      </c>
    </row>
    <row r="41" ht="22.05" customHeight="1" s="79">
      <c r="B41" s="27" t="inlineStr">
        <is>
          <t>33位</t>
        </is>
      </c>
      <c r="C41" s="28" t="inlineStr">
        <is>
          <t xml:space="preserve"> The Joy Attraction Channel</t>
        </is>
      </c>
      <c r="D41" s="29" t="n">
        <v>28</v>
      </c>
      <c r="E41" s="107" t="n">
        <v>0.0346534653465346</v>
      </c>
      <c r="F41" s="29" t="n">
        <v>15800</v>
      </c>
      <c r="G41" s="130" t="n">
        <v>24.9</v>
      </c>
    </row>
    <row r="42" ht="22.05" customHeight="1" s="79">
      <c r="B42" s="32" t="inlineStr">
        <is>
          <t>34位</t>
        </is>
      </c>
      <c r="C42" s="33" t="inlineStr">
        <is>
          <t>潜在意識の本音-ソウルフルカウンセラーKEN</t>
        </is>
      </c>
      <c r="D42" s="34" t="n">
        <v>19</v>
      </c>
      <c r="E42" s="108" t="n">
        <v>0.0235148514851485</v>
      </c>
      <c r="F42" s="34" t="n">
        <v>10800</v>
      </c>
      <c r="G42" s="131" t="n">
        <v>24.7</v>
      </c>
    </row>
    <row r="43" ht="22.05" customHeight="1" s="79">
      <c r="B43" s="27" t="inlineStr">
        <is>
          <t>35位</t>
        </is>
      </c>
      <c r="C43" s="28" t="inlineStr">
        <is>
          <t>今・ここ・すべて</t>
        </is>
      </c>
      <c r="D43" s="29" t="n">
        <v>14</v>
      </c>
      <c r="E43" s="107" t="n">
        <v>0.0173267326732673</v>
      </c>
      <c r="F43" s="29" t="n">
        <v>8100</v>
      </c>
      <c r="G43" s="130" t="n">
        <v>24.3</v>
      </c>
    </row>
    <row r="44" ht="22.05" customHeight="1" s="79">
      <c r="B44" s="32" t="inlineStr">
        <is>
          <t>36位</t>
        </is>
      </c>
      <c r="C44" s="33" t="inlineStr">
        <is>
          <t>THINK.【願望・理想を、創造する。】</t>
        </is>
      </c>
      <c r="D44" s="34" t="n">
        <v>74</v>
      </c>
      <c r="E44" s="108" t="n">
        <v>0.0915841584158415</v>
      </c>
      <c r="F44" s="34" t="n">
        <v>43300</v>
      </c>
      <c r="G44" s="131" t="n">
        <v>24</v>
      </c>
    </row>
    <row r="45" ht="22.05" customHeight="1" s="79">
      <c r="B45" s="27" t="inlineStr">
        <is>
          <t>37位</t>
        </is>
      </c>
      <c r="C45" s="28" t="inlineStr">
        <is>
          <t>MERRY | 幸せに働く人のマインドコーチ</t>
        </is>
      </c>
      <c r="D45" s="29" t="n">
        <v>22</v>
      </c>
      <c r="E45" s="107" t="n">
        <v>0.0272277227722772</v>
      </c>
      <c r="F45" s="29" t="n">
        <v>13000</v>
      </c>
      <c r="G45" s="130" t="n">
        <v>23.8</v>
      </c>
    </row>
    <row r="46" ht="22.05" customHeight="1" s="79">
      <c r="B46" s="32" t="inlineStr">
        <is>
          <t>38位</t>
        </is>
      </c>
      <c r="C46" s="33" t="inlineStr">
        <is>
          <t>瞑想仮面ラーバリアン</t>
        </is>
      </c>
      <c r="D46" s="34" t="n">
        <v>11</v>
      </c>
      <c r="E46" s="108" t="n">
        <v>0.0136138613861386</v>
      </c>
      <c r="F46" s="34" t="n">
        <v>6540</v>
      </c>
      <c r="G46" s="131" t="n">
        <v>23.6</v>
      </c>
    </row>
    <row r="47" ht="22.05" customHeight="1" s="79">
      <c r="B47" s="27" t="inlineStr">
        <is>
          <t>39位</t>
        </is>
      </c>
      <c r="C47" s="28" t="inlineStr">
        <is>
          <t>宇宙よりの思考</t>
        </is>
      </c>
      <c r="D47" s="29" t="n">
        <v>23</v>
      </c>
      <c r="E47" s="107" t="n">
        <v>0.0284653465346534</v>
      </c>
      <c r="F47" s="29" t="n">
        <v>14100</v>
      </c>
      <c r="G47" s="130" t="n">
        <v>22.9</v>
      </c>
    </row>
    <row r="48" ht="22.05" customHeight="1" s="79">
      <c r="B48" s="32" t="inlineStr">
        <is>
          <t>40位</t>
        </is>
      </c>
      <c r="C48" s="33" t="inlineStr">
        <is>
          <t>Miebee★ミービー</t>
        </is>
      </c>
      <c r="D48" s="34" t="n">
        <v>11</v>
      </c>
      <c r="E48" s="108" t="n">
        <v>0.0136138613861386</v>
      </c>
      <c r="F48" s="34" t="n">
        <v>6880</v>
      </c>
      <c r="G48" s="131" t="n">
        <v>22.5</v>
      </c>
    </row>
    <row r="51">
      <c r="B51" s="94" t="inlineStr">
        <is>
          <t>※「隠れた相性スコア（倍）」= 本チャンネル視聴者の登録率 ÷ YouTube全体での平均登録率（推定）。1倍＝全体平均と同じ、100倍＝全体平均の100倍の確率で本視聴者が登録していることを意味する。上位はスピリチュアル・潜在意識・引き寄せ系チャンネルが多く、本チャンネル視聴者の深い関心が浮かび上がる。</t>
        </is>
      </c>
    </row>
  </sheetData>
  <mergeCells count="5">
    <mergeCell ref="B3:G3"/>
    <mergeCell ref="B2:G2"/>
    <mergeCell ref="B51:G51"/>
    <mergeCell ref="B5:G5"/>
    <mergeCell ref="B6:G6"/>
  </mergeCells>
  <conditionalFormatting sqref="G9:G48">
    <cfRule type="colorScale" priority="1">
      <colorScale>
        <cfvo type="min"/>
        <cfvo type="percentile" val="50"/>
        <cfvo type="max"/>
        <color rgb="FFFFFFFF"/>
        <color rgb="FFFED7AA"/>
        <color rgb="FFEA580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FF7C3AED"/>
    <outlinePr summaryBelow="1" summaryRight="1"/>
    <pageSetUpPr/>
  </sheetPr>
  <dimension ref="B1:E19"/>
  <sheetViews>
    <sheetView showGridLines="0" topLeftCell="A19" workbookViewId="0">
      <selection activeCell="A1" sqref="A1"/>
    </sheetView>
  </sheetViews>
  <sheetFormatPr baseColWidth="8" defaultRowHeight="12.75"/>
  <cols>
    <col width="2" customWidth="1" style="79" min="1" max="1"/>
    <col width="22" customWidth="1" style="79" min="2" max="2"/>
    <col width="16" customWidth="1" style="79" min="3" max="5"/>
  </cols>
  <sheetData>
    <row r="1" ht="5" customHeight="1" s="79">
      <c r="B1" s="67" t="n"/>
      <c r="C1" s="67" t="n"/>
      <c r="D1" s="67" t="n"/>
      <c r="E1" s="67" t="n"/>
    </row>
    <row r="2" ht="38" customHeight="1" s="79">
      <c r="B2" s="90" t="inlineStr">
        <is>
          <t>④ 視聴者1人あたりの公開登録チャンネル数の分布</t>
        </is>
      </c>
    </row>
    <row r="3" ht="45" customHeight="1" s="79">
      <c r="B3" s="92" t="inlineStr">
        <is>
          <t>1人の視聴者が公開登録しているチャンネル数をグループ分けして集計。「0〜99チャンネル」が最多（280人）で、登録数が少ない視聴者が多い。「900〜999チャンネル」に小さな山があるのは、YouTubeのAPI取得上限（1,000件）に近い視聴者がいるためと考えられる。（「1000〜1099」が0人なのも同様の理由）</t>
        </is>
      </c>
    </row>
    <row r="4" ht="10.05" customHeight="1" s="79"/>
    <row r="5" ht="28.05" customHeight="1" s="79">
      <c r="B5" s="68" t="inlineStr">
        <is>
          <t>登録チャンネル数の範囲</t>
        </is>
      </c>
      <c r="C5" s="68" t="inlineStr">
        <is>
          <t>視聴者数（人）</t>
        </is>
      </c>
      <c r="D5" s="68" t="inlineStr">
        <is>
          <t>全体に占める割合</t>
        </is>
      </c>
      <c r="E5" s="68" t="inlineStr">
        <is>
          <t>目安</t>
        </is>
      </c>
    </row>
    <row r="6" ht="24" customHeight="1" s="79">
      <c r="B6" s="27" t="inlineStr">
        <is>
          <t>0-99 チャンネル</t>
        </is>
      </c>
      <c r="C6" s="29" t="n">
        <v>280</v>
      </c>
      <c r="D6" s="107" t="n">
        <v>0.3465346534653465</v>
      </c>
      <c r="E6" s="69" t="inlineStr">
        <is>
          <t>登録数が少ない層</t>
        </is>
      </c>
    </row>
    <row r="7" ht="24" customHeight="1" s="79">
      <c r="B7" s="32" t="inlineStr">
        <is>
          <t>100-199 チャンネル</t>
        </is>
      </c>
      <c r="C7" s="34" t="n">
        <v>167</v>
      </c>
      <c r="D7" s="108" t="n">
        <v>0.2066831683168317</v>
      </c>
      <c r="E7" s="70" t="inlineStr">
        <is>
          <t>平均的な登録数の層</t>
        </is>
      </c>
    </row>
    <row r="8" ht="24" customHeight="1" s="79">
      <c r="B8" s="27" t="inlineStr">
        <is>
          <t>200-299 チャンネル</t>
        </is>
      </c>
      <c r="C8" s="29" t="n">
        <v>87</v>
      </c>
      <c r="D8" s="107" t="n">
        <v>0.1076732673267327</v>
      </c>
      <c r="E8" s="69" t="n"/>
    </row>
    <row r="9" ht="24" customHeight="1" s="79">
      <c r="B9" s="32" t="inlineStr">
        <is>
          <t>300-399 チャンネル</t>
        </is>
      </c>
      <c r="C9" s="34" t="n">
        <v>62</v>
      </c>
      <c r="D9" s="108" t="n">
        <v>0.07673267326732673</v>
      </c>
      <c r="E9" s="70" t="n"/>
    </row>
    <row r="10" ht="24" customHeight="1" s="79">
      <c r="B10" s="27" t="inlineStr">
        <is>
          <t>400-499 チャンネル</t>
        </is>
      </c>
      <c r="C10" s="29" t="n">
        <v>43</v>
      </c>
      <c r="D10" s="107" t="n">
        <v>0.05321782178217822</v>
      </c>
      <c r="E10" s="69" t="n"/>
    </row>
    <row r="11" ht="24" customHeight="1" s="79">
      <c r="B11" s="32" t="inlineStr">
        <is>
          <t>500-599 チャンネル</t>
        </is>
      </c>
      <c r="C11" s="34" t="n">
        <v>27</v>
      </c>
      <c r="D11" s="108" t="n">
        <v>0.03341584158415842</v>
      </c>
      <c r="E11" s="70" t="n"/>
    </row>
    <row r="12" ht="24" customHeight="1" s="79">
      <c r="B12" s="27" t="inlineStr">
        <is>
          <t>600-699 チャンネル</t>
        </is>
      </c>
      <c r="C12" s="29" t="n">
        <v>27</v>
      </c>
      <c r="D12" s="107" t="n">
        <v>0.03341584158415842</v>
      </c>
      <c r="E12" s="69" t="n"/>
    </row>
    <row r="13" ht="24" customHeight="1" s="79">
      <c r="B13" s="32" t="inlineStr">
        <is>
          <t>700-799 チャンネル</t>
        </is>
      </c>
      <c r="C13" s="34" t="n">
        <v>18</v>
      </c>
      <c r="D13" s="108" t="n">
        <v>0.02227722772277228</v>
      </c>
      <c r="E13" s="70" t="n"/>
    </row>
    <row r="14" ht="24" customHeight="1" s="79">
      <c r="B14" s="27" t="inlineStr">
        <is>
          <t>800-899 チャンネル</t>
        </is>
      </c>
      <c r="C14" s="29" t="n">
        <v>22</v>
      </c>
      <c r="D14" s="107" t="n">
        <v>0.02722772277227723</v>
      </c>
      <c r="E14" s="69" t="n"/>
    </row>
    <row r="15" ht="24" customHeight="1" s="79">
      <c r="B15" s="32" t="inlineStr">
        <is>
          <t>900-999 チャンネル</t>
        </is>
      </c>
      <c r="C15" s="34" t="n">
        <v>75</v>
      </c>
      <c r="D15" s="108" t="n">
        <v>0.09282178217821782</v>
      </c>
      <c r="E15" s="70" t="inlineStr">
        <is>
          <t>⚠ API上限（1,000件）付近の層</t>
        </is>
      </c>
    </row>
    <row r="16" ht="24" customHeight="1" s="79">
      <c r="B16" s="27" t="inlineStr">
        <is>
          <t>1000-1099 チャンネル</t>
        </is>
      </c>
      <c r="C16" s="29" t="n">
        <v>0</v>
      </c>
      <c r="D16" s="107" t="n">
        <v>0</v>
      </c>
      <c r="E16" s="69" t="inlineStr">
        <is>
          <t>（取得上限のため0人）</t>
        </is>
      </c>
    </row>
    <row r="17" ht="26" customHeight="1" s="79">
      <c r="B17" s="56" t="inlineStr">
        <is>
          <t>合計</t>
        </is>
      </c>
      <c r="C17" s="57">
        <f>SUM(C6:C16)</f>
        <v/>
      </c>
      <c r="D17" s="132" t="n">
        <v>1</v>
      </c>
      <c r="E17" s="71" t="n"/>
    </row>
    <row r="19">
      <c r="B19" s="91" t="inlineStr">
        <is>
          <t>※ YouTube Data API の取得上限は1,000件のため、それ以上登録しているユーザーでも999件までしか取得できない場合がある。</t>
        </is>
      </c>
    </row>
  </sheetData>
  <mergeCells count="3">
    <mergeCell ref="B19:E19"/>
    <mergeCell ref="B3:E3"/>
    <mergeCell ref="B2:E2"/>
  </mergeCells>
  <conditionalFormatting sqref="C6:C16">
    <cfRule type="colorScale" priority="1">
      <colorScale>
        <cfvo type="min"/>
        <cfvo type="max"/>
        <color rgb="FFFFFFFF"/>
        <color rgb="FF7C3AED"/>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FF0891B2"/>
    <outlinePr summaryBelow="1" summaryRight="1"/>
    <pageSetUpPr/>
  </sheetPr>
  <dimension ref="B1:E28"/>
  <sheetViews>
    <sheetView showGridLines="0" workbookViewId="0">
      <selection activeCell="I32" sqref="I32"/>
    </sheetView>
  </sheetViews>
  <sheetFormatPr baseColWidth="8" defaultRowHeight="12.75"/>
  <cols>
    <col width="2" customWidth="1" style="79" min="1" max="1"/>
    <col width="22" customWidth="1" style="79" min="2" max="2"/>
    <col width="13" customWidth="1" style="79" min="3" max="3"/>
    <col width="14" customWidth="1" style="79" min="4" max="4"/>
    <col width="52" customWidth="1" style="79" min="5" max="5"/>
  </cols>
  <sheetData>
    <row r="1" ht="5" customHeight="1" s="79">
      <c r="B1" s="72" t="n"/>
      <c r="C1" s="72" t="n"/>
      <c r="D1" s="72" t="n"/>
      <c r="E1" s="72" t="n"/>
    </row>
    <row r="2" ht="38" customHeight="1" s="79">
      <c r="B2" s="90" t="inlineStr">
        <is>
          <t>⑤ 視聴者グループ ── よく一緒に登録されるチャンネルのかたまり（Top20）</t>
        </is>
      </c>
    </row>
    <row r="3" ht="50" customHeight="1" s="79">
      <c r="B3" s="92" t="inlineStr">
        <is>
          <t>「同じ視聴者に一緒に登録されることが多いチャンネル」をコンピュータが自動でグループ分けしたもの（Louvainアルゴリズムを使用）。合計50グループを検出。上位5グループはそれぞれ2,000〜3,000チャンネル規模の大きなかたまりで、エンタメ・バラエティ系、ビジネス・不動産系、スピリチュアル系など、視聴者の関心のかたまりが見えてくる。</t>
        </is>
      </c>
    </row>
    <row r="4" ht="10.05" customHeight="1" s="79"/>
    <row r="5" ht="28.05" customHeight="1" s="79">
      <c r="B5" s="73" t="inlineStr">
        <is>
          <t>グループ名</t>
        </is>
      </c>
      <c r="C5" s="73" t="inlineStr">
        <is>
          <t>グループ内
チャンネル数</t>
        </is>
      </c>
      <c r="D5" s="73" t="inlineStr">
        <is>
          <t>グループ内の
リンク数（つながり）</t>
        </is>
      </c>
      <c r="E5" s="73" t="inlineStr">
        <is>
          <t>代表的なチャンネル（上位）</t>
        </is>
      </c>
    </row>
    <row r="6" ht="38" customHeight="1" s="79">
      <c r="B6" s="15" t="inlineStr">
        <is>
          <t>#1  エンタメ・バラエティ系</t>
        </is>
      </c>
      <c r="C6" s="29" t="n">
        <v>3015</v>
      </c>
      <c r="D6" s="29" t="n">
        <v>20809</v>
      </c>
      <c r="E6" s="82" t="inlineStr">
        <is>
          <t>メンタリスト DaiGo / 令和の虎CHANNEL / レインボーコントチャンネル / 手越祐也チャンネル / ひなちゃんねる / Hinata Kato / THE FIRST TAKE / THE ROLAND SHOW【公式】 / 狩野英孝【公式チャンネル】EIKO!GO!!</t>
        </is>
      </c>
    </row>
    <row r="7" ht="38" customHeight="1" s="79">
      <c r="B7" s="18" t="inlineStr">
        <is>
          <t>#2  ビジネス・不動産・副業系</t>
        </is>
      </c>
      <c r="C7" s="34" t="n">
        <v>3010</v>
      </c>
      <c r="D7" s="34" t="n">
        <v>23027</v>
      </c>
      <c r="E7" s="83" t="inlineStr">
        <is>
          <t>mikimiki web スクール / 楽待 RAKUMACHI / 大人の学び直しTV / 堀江貴文 ホリエモン / ウェブ職TV@AIセキュリティ専門 / KEITO【AI&amp;WEB ch】 / PIVOT 公式チャンネル / マコなり社長</t>
        </is>
      </c>
    </row>
    <row r="8" ht="38" customHeight="1" s="79">
      <c r="B8" s="15" t="inlineStr">
        <is>
          <t>#3  スピリチュアル・引き寄せ系</t>
        </is>
      </c>
      <c r="C8" s="29" t="n">
        <v>2741</v>
      </c>
      <c r="D8" s="29" t="n">
        <v>41886</v>
      </c>
      <c r="E8" s="82" t="inlineStr">
        <is>
          <t>幸運アファメーション / スピな暮らし【ゆっくり解説】 / YOKO の宇宙研究CH / 吉岡純子  JUNKO YOSHIOKA / KIKO channel / 心理カウンセラーmasa / akikoSpiritual / ハッピー研究所</t>
        </is>
      </c>
    </row>
    <row r="9" ht="38" customHeight="1" s="79">
      <c r="B9" s="18" t="inlineStr">
        <is>
          <t>#4  料理・海外・バラエティ系</t>
        </is>
      </c>
      <c r="C9" s="34" t="n">
        <v>2482</v>
      </c>
      <c r="D9" s="34" t="n">
        <v>14905</v>
      </c>
      <c r="E9" s="83" t="inlineStr">
        <is>
          <t>魔理沙のズボラ飯 / Gyoza Quest / ブライトサイド | Bright Side Japan / Marine Ch. 宝鐘マリン / ド文系でも楽しい【ゆっくり数学の雑学】 / ゆっくりお金アカデミー / VAIENCE バイエンス / ショーツレンジャー</t>
        </is>
      </c>
    </row>
    <row r="10" ht="38" customHeight="1" s="79">
      <c r="B10" s="15" t="inlineStr">
        <is>
          <t>#5  政治・保守・情報系</t>
        </is>
      </c>
      <c r="C10" s="29" t="n">
        <v>2414</v>
      </c>
      <c r="D10" s="29" t="n">
        <v>25556</v>
      </c>
      <c r="E10" s="82" t="inlineStr">
        <is>
          <t>我那覇真子チャンネル / カピバラチャンネル capybarachannel / 深田萌絵TV / おみそちゃんねる【世界どん深闇ニュース】 / 百田尚樹チャンネル / むすび大学チャンネル / 言論テレビ / 大紀元 エポックタイムズ・ジャパン</t>
        </is>
      </c>
    </row>
    <row r="11" ht="38" customHeight="1" s="79">
      <c r="B11" s="18" t="inlineStr">
        <is>
          <t>#6  FX・投資トレード系</t>
        </is>
      </c>
      <c r="C11" s="34" t="n">
        <v>279</v>
      </c>
      <c r="D11" s="34" t="n">
        <v>2203</v>
      </c>
      <c r="E11" s="83" t="inlineStr">
        <is>
          <t>【FX初心者ch】 by ユーちぇる監督 / 【FX攻略】トレーダーワタル / FXサロン-波乗り道場- / FXism 及川圭哉 / ましろ【FXトレーダー】 / おバカな妹にFX教えてみた / FXゴールドナビ / 海沼みつしろ GREAT INVESTOR</t>
        </is>
      </c>
    </row>
    <row r="12" ht="38" customHeight="1" s="79">
      <c r="B12" s="15" t="inlineStr">
        <is>
          <t>#7  音楽・ギター・ボイス系</t>
        </is>
      </c>
      <c r="C12" s="29" t="n">
        <v>174</v>
      </c>
      <c r="D12" s="29" t="n">
        <v>463</v>
      </c>
      <c r="E12" s="82" t="inlineStr">
        <is>
          <t>東本ボイストレーニング / Nama Guitar Channel / Rickey / Toshiki Soejima / Guitar Lesson for Beginner / 作曲家・和田貴史の庭 / Seiji Igusa / Kazuki's Guitar Channel</t>
        </is>
      </c>
    </row>
    <row r="13" ht="38" customHeight="1" s="79">
      <c r="B13" s="18" t="inlineStr">
        <is>
          <t>#8  武道・格闘技系</t>
        </is>
      </c>
      <c r="C13" s="34" t="n">
        <v>169</v>
      </c>
      <c r="D13" s="34" t="n">
        <v>436</v>
      </c>
      <c r="E13" s="83" t="inlineStr">
        <is>
          <t>Kyokushin World-Champ kouketsu YouTube-Dojo / 狂武蔵たくちゃんねる / ansony jack / イス軸法®︎Channel / YASU Road / Togo Ishii 1inch channel /  BAB JAPAN / Nationale Opera &amp; Ballet</t>
        </is>
      </c>
    </row>
    <row r="14" ht="38" customHeight="1" s="79">
      <c r="B14" s="15" t="inlineStr">
        <is>
          <t>#9  野球・スポーツ系</t>
        </is>
      </c>
      <c r="C14" s="29" t="n">
        <v>84</v>
      </c>
      <c r="D14" s="29" t="n">
        <v>278</v>
      </c>
      <c r="E14" s="82" t="inlineStr">
        <is>
          <t>【公式】落合博満のオレ流チャンネル / Satozaki Channel / 上原浩治の雑談魂 / スポーツナビ 野球チャンネル / 松坂大輔 official YouTube  / [ラミレス公式]ラミちゃんねる / 熱スギヤch【杉谷拳士 公式】 / よしひこチャンネル</t>
        </is>
      </c>
    </row>
    <row r="15" ht="38" customHeight="1" s="79">
      <c r="B15" s="18" t="inlineStr">
        <is>
          <t>#10  クイズ・ペット・趣味系</t>
        </is>
      </c>
      <c r="C15" s="34" t="n">
        <v>78</v>
      </c>
      <c r="D15" s="34" t="n">
        <v>165</v>
      </c>
      <c r="E15" s="83" t="inlineStr">
        <is>
          <t>Chorakuji Temple in Nasu / もんたの日常 /  Injured former stray cat "Sasami" / かご猫 Ｂｌｏｇ / ポムさんとしまちゃん / ねこべや。 / のりたま ちゃんねる / ウルンとリコリンファミリー / まつもとたける</t>
        </is>
      </c>
    </row>
    <row r="16" ht="38" customHeight="1" s="79">
      <c r="B16" s="15" t="inlineStr">
        <is>
          <t>#11  ゲーム・クイズ・ファミリー系</t>
        </is>
      </c>
      <c r="C16" s="29" t="n">
        <v>57</v>
      </c>
      <c r="D16" s="29" t="n">
        <v>206</v>
      </c>
      <c r="E16" s="82" t="inlineStr">
        <is>
          <t>わくわくクイズひろば / たこちゃんねる / あしざるFC / ファンランド / 小麦アレルギー / 光ショーツ / にっこりレモン🍋 / らゆまPRINCE👑🍌</t>
        </is>
      </c>
    </row>
    <row r="17" ht="38" customHeight="1" s="79">
      <c r="B17" s="18" t="inlineStr">
        <is>
          <t>#12  タロット・占い・スピリチュアル系</t>
        </is>
      </c>
      <c r="C17" s="34" t="n">
        <v>48</v>
      </c>
      <c r="D17" s="34" t="n">
        <v>180</v>
      </c>
      <c r="E17" s="83" t="inlineStr">
        <is>
          <t>どれ / NATSU  TAROT / ルアナママンのカードリーディング / MyButterfly / satori×bona blanc / 立花れいこl愛活 channel / houseタロット / milky Card therapy</t>
        </is>
      </c>
    </row>
    <row r="18" ht="38" customHeight="1" s="79">
      <c r="B18" s="15" t="inlineStr">
        <is>
          <t>#13  サーフィン・アウトドア系</t>
        </is>
      </c>
      <c r="C18" s="29" t="n">
        <v>18</v>
      </c>
      <c r="D18" s="29" t="n">
        <v>32</v>
      </c>
      <c r="E18" s="82" t="inlineStr">
        <is>
          <t>村田親子 / 田中英義 Hideyoshi Tanaka / Sasurai Surf TV / 大原洋人Channel / プロサーファー河村カイサ / Yugo Kawabata / NANBAN / SaltwaterTV</t>
        </is>
      </c>
    </row>
    <row r="19" ht="38" customHeight="1" s="79">
      <c r="B19" s="18" t="inlineStr">
        <is>
          <t>#14  スキー・スポーツ系</t>
        </is>
      </c>
      <c r="C19" s="34" t="n">
        <v>11</v>
      </c>
      <c r="D19" s="34" t="n">
        <v>28</v>
      </c>
      <c r="E19" s="83" t="inlineStr">
        <is>
          <t>スペーレンスキーTV / すまはちサロン / SnowHub / Filip Chwistek (ski-world) / Zero1channel / TJMスキーちゃんねる / Courage, Hope, and Challenge for the Middle-Aged / Takehiro SKI Channel</t>
        </is>
      </c>
    </row>
    <row r="20" ht="38" customHeight="1" s="79">
      <c r="B20" s="15" t="inlineStr">
        <is>
          <t>#15  アニメ・ワンピース系</t>
        </is>
      </c>
      <c r="C20" s="29" t="n">
        <v>10</v>
      </c>
      <c r="D20" s="29" t="n">
        <v>12</v>
      </c>
      <c r="E20" s="82" t="inlineStr">
        <is>
          <t>コンコック / ドロピザ 【Drop the Pizza】 / Another Blue 【3代目ワンピース知識王】 / スーパーカミキカンデ【ONE PIECEが大好きな神木】 / もっちー / コーキ タコヤキ 大阪 / ドロヌマ【Drop the 沼】 / 近藤豪 / 職人として生きる</t>
        </is>
      </c>
    </row>
    <row r="21" ht="38" customHeight="1" s="79">
      <c r="B21" s="18" t="inlineStr">
        <is>
          <t>#16  ピアノ・クラシック音楽系</t>
        </is>
      </c>
      <c r="C21" s="34" t="n">
        <v>9</v>
      </c>
      <c r="D21" s="34" t="n">
        <v>10</v>
      </c>
      <c r="E21" s="83" t="inlineStr">
        <is>
          <t>Jacob Koller / The Mad Arranger (Jacob Koller) / SHUMPEI PIANO CHANNEL / Dietmar Steinhauer / Yomii Piano よみぃ / Haruna Pianist / Mr.Forte / pianist MAI MORIMOTO / ピアノフォルテ / pf channel</t>
        </is>
      </c>
    </row>
    <row r="22" ht="38" customHeight="1" s="79">
      <c r="B22" s="15" t="inlineStr">
        <is>
          <t>#17  ポーカー系</t>
        </is>
      </c>
      <c r="C22" s="29" t="n">
        <v>8</v>
      </c>
      <c r="D22" s="29" t="n">
        <v>13</v>
      </c>
      <c r="E22" s="82" t="inlineStr">
        <is>
          <t>しゅんぽーかー / ヨコサワポーカーチャンネル / Jaysol / Masato "World Wide" Yokosawa - Poker - / ポーカーの沼 / 普段のヨコサワ / VAMOS POKER【バモスポーカー】 / カジノちゃんねる</t>
        </is>
      </c>
    </row>
    <row r="23" ht="38" customHeight="1" s="79">
      <c r="B23" s="18" t="inlineStr">
        <is>
          <t>#18  韓国語学習系</t>
        </is>
      </c>
      <c r="C23" s="34" t="n">
        <v>7</v>
      </c>
      <c r="D23" s="34" t="n">
        <v>8</v>
      </c>
      <c r="E23" s="83" t="inlineStr">
        <is>
          <t>オヌルド韓国語[오늘도 한국어] / トリリンガルのトミ【韓国語講座】 / ナチュラル韓国語 Natural Korean / Joo [korean Learning channel] / でき韓 韓国語講座_パク先生 박센세 / おしゃべり韓国語 / いんぎんのハングル広場</t>
        </is>
      </c>
    </row>
    <row r="24" ht="38" customHeight="1" s="79">
      <c r="B24" s="100" t="inlineStr">
        <is>
          <t>#19  釣り系</t>
        </is>
      </c>
      <c r="C24" s="29" t="n">
        <v>5</v>
      </c>
      <c r="D24" s="29" t="n">
        <v>6</v>
      </c>
      <c r="E24" s="82" t="inlineStr">
        <is>
          <t xml:space="preserve">You can learn by fishing. / K's fishing channel / RAD FISHING/高橋優介 / TSURIHACK TV / 悪食プリンセス グラトニーヌ </t>
        </is>
      </c>
    </row>
    <row r="25" ht="38" customHeight="1" s="79">
      <c r="B25" s="101" t="inlineStr">
        <is>
          <t>#20  ヒップホップ・音楽系</t>
        </is>
      </c>
      <c r="C25" s="34" t="n">
        <v>5</v>
      </c>
      <c r="D25" s="34" t="n">
        <v>4</v>
      </c>
      <c r="E25" s="83" t="inlineStr">
        <is>
          <t>KEIJU / STUTS / AOTL Official / AKAZUCHI / KID FRESINO</t>
        </is>
      </c>
    </row>
    <row r="28">
      <c r="B28" s="99" t="n"/>
    </row>
  </sheetData>
  <mergeCells count="3">
    <mergeCell ref="B28:E28"/>
    <mergeCell ref="B3:E3"/>
    <mergeCell ref="B2:E2"/>
  </mergeCells>
  <conditionalFormatting sqref="C6:C25">
    <cfRule type="dataBar" priority="1">
      <dataBar>
        <cfvo type="num" val="0"/>
        <cfvo type="max"/>
        <color rgb="FF0891B2"/>
      </dataBar>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FF6B7280"/>
    <outlinePr summaryBelow="1" summaryRight="1"/>
    <pageSetUpPr/>
  </sheetPr>
  <dimension ref="B1:D23"/>
  <sheetViews>
    <sheetView showGridLines="0" workbookViewId="0">
      <selection activeCell="B20" sqref="B20"/>
    </sheetView>
  </sheetViews>
  <sheetFormatPr baseColWidth="8" defaultRowHeight="12.75"/>
  <cols>
    <col width="2" customWidth="1" style="79" min="1" max="1"/>
    <col width="22" customWidth="1" style="79" min="2" max="2"/>
    <col width="36" customWidth="1" style="79" min="3" max="3"/>
    <col width="28" customWidth="1" style="79" min="4" max="4"/>
  </cols>
  <sheetData>
    <row r="1" ht="5" customHeight="1" s="79">
      <c r="B1" s="74" t="n"/>
      <c r="C1" s="74" t="n"/>
      <c r="D1" s="74" t="n"/>
    </row>
    <row r="2" ht="38" customHeight="1" s="79">
      <c r="B2" s="90" t="inlineStr">
        <is>
          <t>📋 用語・手法の説明</t>
        </is>
      </c>
    </row>
    <row r="3" ht="28.05" customHeight="1" s="79">
      <c r="B3" s="92" t="inlineStr">
        <is>
          <t>参考動画「10万人の登録者はどんなチャンネルを見ているのか？」（データで語る棒人間）の手法を本データで再現した分析レポートです。</t>
        </is>
      </c>
    </row>
    <row r="4" ht="10.05" customHeight="1" s="79"/>
    <row r="5" ht="26" customHeight="1" s="79">
      <c r="B5" s="85" t="inlineStr">
        <is>
          <t>🔄 この分析はどのように行ったか（ステップ解説）</t>
        </is>
      </c>
    </row>
    <row r="6" ht="50" customHeight="1" s="79">
      <c r="B6" s="75" t="inlineStr">
        <is>
          <t>Step 1 ── 視聴者リストの収集</t>
        </is>
      </c>
      <c r="C6" s="81" t="inlineStr">
        <is>
          <t>本チャンネルにコメントを書いたユーザーのうち、登録チャンネルを公開設定にしている808人を「観測する視聴者（パネル）」として選定。</t>
        </is>
      </c>
      <c r="D6" s="82" t="inlineStr">
        <is>
          <t>公開登録ONの視聴者のみ観測可能。非公開の視聴者は含まれない（限界点）。</t>
        </is>
      </c>
    </row>
    <row r="7" ht="50" customHeight="1" s="79">
      <c r="B7" s="75" t="inlineStr">
        <is>
          <t>Step 2 ── 各視聴者の登録チャンネルを取得</t>
        </is>
      </c>
      <c r="C7" s="84" t="inlineStr">
        <is>
          <t>808人それぞれが登録している他のチャンネルをYouTube APIで取得。合計106,568チャンネル、235,024本のリンクを収集。</t>
        </is>
      </c>
      <c r="D7" s="83" t="inlineStr">
        <is>
          <t>参考動画では視聴者1,000人・約99,000チャンネル・約400,000リンクと同規模。</t>
        </is>
      </c>
    </row>
    <row r="8" ht="50" customHeight="1" s="79">
      <c r="B8" s="75" t="inlineStr">
        <is>
          <t>Step 3 ── どのチャンネルが多く登録されているか集計</t>
        </is>
      </c>
      <c r="C8" s="81" t="inlineStr">
        <is>
          <t>视聴者全員の登録チャンネルを集計し、多くの視聴者に登録されているチャンネルをランキング化。→「① 人気チャンネルTop50」シート</t>
        </is>
      </c>
      <c r="D8" s="82" t="inlineStr">
        <is>
          <t>登録者率 = 808人中何人がそのチャンネルを登録しているか ÷ 808。</t>
        </is>
      </c>
    </row>
    <row r="9" ht="50" customHeight="1" s="79">
      <c r="B9" s="75" t="inlineStr">
        <is>
          <t>Step 4 ── 一緒に登録されているチャンネルをグループ化</t>
        </is>
      </c>
      <c r="C9" s="84" t="inlineStr">
        <is>
          <t>「同じ視聴者に一緒に登録されることが多いチャンネル」をコンピュータが自動でグループ分け（Louvainアルゴリズム）。50グループを検出。</t>
        </is>
      </c>
      <c r="D9" s="83" t="inlineStr">
        <is>
          <t>→「⑤ 視聴者グループ」シート。グループ名は内容を確認して手動で付与。</t>
        </is>
      </c>
    </row>
    <row r="10" ht="50" customHeight="1" s="79">
      <c r="B10" s="75" t="inlineStr">
        <is>
          <t>Step 5 ── 「隠れた相性スコア」の計算</t>
        </is>
      </c>
      <c r="C10" s="81" t="inlineStr">
        <is>
          <t>人気チャンネルは「みんなが見るから」登録率が高くなりがち。そこでチャンネルの規模（総登録者数）を考慮して補正した「隠れた相性スコア」を算出。</t>
        </is>
      </c>
      <c r="D10" s="82" t="inlineStr">
        <is>
          <t>スコア = 本チャンネル視聴者の登録率 ÷ YouTube全体での推定平均登録率。→「③ 隠れた相性チャンネル」シート</t>
        </is>
      </c>
    </row>
    <row r="11" ht="10.05" customHeight="1" s="79"/>
    <row r="12" ht="26" customHeight="1" s="79">
      <c r="B12" s="96" t="inlineStr">
        <is>
          <t>📖 用語の説明</t>
        </is>
      </c>
    </row>
    <row r="13" ht="26" customHeight="1" s="79">
      <c r="B13" s="87" t="inlineStr">
        <is>
          <t>用語</t>
        </is>
      </c>
    </row>
    <row r="14" ht="13.15" customHeight="1" s="79">
      <c r="C14" s="87" t="inlineStr">
        <is>
          <t>意味・説明</t>
        </is>
      </c>
    </row>
    <row r="15" ht="13.15" customHeight="1" s="79">
      <c r="D15" s="87" t="inlineStr">
        <is>
          <t>本データでの具体例</t>
        </is>
      </c>
    </row>
    <row r="16" ht="45" customHeight="1" s="79">
      <c r="B16" s="76" t="inlineStr">
        <is>
          <t>登録者率</t>
        </is>
      </c>
      <c r="C16" s="81" t="inlineStr">
        <is>
          <t>本チャンネルの視聴者808人のうち、そのチャンネルを登録している人の割合（%）。</t>
        </is>
      </c>
      <c r="D16" s="82" t="inlineStr">
        <is>
          <t>32.8% ＝ 808人中265人がパラノイア【有益】を登録している</t>
        </is>
      </c>
    </row>
    <row r="17" ht="45" customHeight="1" s="79">
      <c r="B17" s="97" t="inlineStr">
        <is>
          <t>隠れた相性スコア
（親和性リフト）</t>
        </is>
      </c>
      <c r="C17" s="84" t="inlineStr">
        <is>
          <t>チャンネルの規模（総登録者数）を考慮して補正した「本当の相性の高さ」。1倍＝全体平均と同じ。値が高いほど、本チャンネル視聴者に特別に選ばれているチャンネル。</t>
        </is>
      </c>
      <c r="D17" s="83" t="inlineStr">
        <is>
          <t>181倍 ＝「世界のドコかでひきこもり」は一般ユーザーより181倍の確率で本チャンネル視聴者が登録</t>
        </is>
      </c>
    </row>
    <row r="18" ht="45" customHeight="1" s="79">
      <c r="B18" s="98" t="inlineStr">
        <is>
          <t>視聴者グループ
（コミュニティ）</t>
        </is>
      </c>
      <c r="C18" s="81" t="inlineStr">
        <is>
          <t>「同じ視聴者に一緒に登録されることが多いチャンネル」を自動でグループ化したもの。似た関心を持つ視聴者の「かたまり」を可視化。</t>
        </is>
      </c>
      <c r="D18" s="82" t="inlineStr">
        <is>
          <t>50グループを検出。最大グループ（エンタメ・バラエティ系）は3,015チャンネル</t>
        </is>
      </c>
    </row>
    <row r="19" ht="45" customHeight="1" s="79">
      <c r="B19" s="97" t="inlineStr">
        <is>
          <t>観測した視聴者
（観測パネル）</t>
        </is>
      </c>
      <c r="C19" s="84" t="inlineStr">
        <is>
          <t>分析対象となる視聴者のこと。本データでは登録チャンネルを公開にしているコメント投稿者808人。</t>
        </is>
      </c>
      <c r="D19" s="83" t="inlineStr">
        <is>
          <t>非公開設定の視聴者は観測できないため、全視聴者の完全な代表ではない</t>
        </is>
      </c>
    </row>
    <row r="20" ht="45" customHeight="1" s="79">
      <c r="B20" s="98" t="inlineStr">
        <is>
          <t>登録のリンク数
（エッジ数）</t>
        </is>
      </c>
      <c r="C20" s="81" t="inlineStr">
        <is>
          <t>「視聴者○○さんがチャンネルAを登録している」という1本1本のつながりの総数。</t>
        </is>
      </c>
      <c r="D20" s="82" t="inlineStr">
        <is>
          <t>本データでは235,024本（参考動画チャンネルは約400,000本）</t>
        </is>
      </c>
    </row>
    <row r="21" ht="45" customHeight="1" s="79">
      <c r="B21" s="77" t="inlineStr">
        <is>
          <t>Louvainアルゴリズム</t>
        </is>
      </c>
      <c r="C21" s="84" t="inlineStr">
        <is>
          <t>ネットワーク内のグループを自動で見つけるコンピュータの手法。「つながりが多いもの同士」をグループ化する。</t>
        </is>
      </c>
      <c r="D21" s="83" t="inlineStr">
        <is>
          <t>本データで50グループを自動検出</t>
        </is>
      </c>
    </row>
    <row r="22" ht="10.05" customHeight="1" s="79"/>
    <row r="23">
      <c r="B23" s="91" t="inlineStr">
        <is>
          <t>出典: YouTube Data API（2026-06-22収集）| 参考: データで語る棒人間「10万人の登録者はどんなチャンネルを見ているのか？」| 生成: 2026-06-24</t>
        </is>
      </c>
    </row>
  </sheetData>
  <mergeCells count="5">
    <mergeCell ref="B3:D3"/>
    <mergeCell ref="B5:D5"/>
    <mergeCell ref="B23:D23"/>
    <mergeCell ref="B12:D12"/>
    <mergeCell ref="B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2026-06-24T00:33:50Z</dcterms:created>
  <dcterms:modified xsi:type="dcterms:W3CDTF">2026-06-24T09:49:41Z</dcterms:modified>
  <cp:lastModifiedBy>悠人 市村</cp:lastModifiedBy>
</cp:coreProperties>
</file>