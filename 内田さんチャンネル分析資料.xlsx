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upu_\Downloads\"/>
    </mc:Choice>
  </mc:AlternateContent>
  <xr:revisionPtr revIDLastSave="0" documentId="13_ncr:1_{6BAD34C7-7D00-4F5F-AF9B-F9F0CF583F6E}" xr6:coauthVersionLast="47" xr6:coauthVersionMax="47" xr10:uidLastSave="{00000000-0000-0000-0000-000000000000}"/>
  <bookViews>
    <workbookView xWindow="-98" yWindow="-98" windowWidth="21795" windowHeight="12975" xr2:uid="{00000000-000D-0000-FFFF-FFFF00000000}"/>
  </bookViews>
  <sheets>
    <sheet name="📊 ダッシュボード" sheetId="1" r:id="rId1"/>
    <sheet name="① 人気チャンネルTop50" sheetId="2" r:id="rId2"/>
    <sheet name="② 視聴者の興味ジャンル" sheetId="3" r:id="rId3"/>
    <sheet name="③ 隠れた相性チャンネル" sheetId="4" r:id="rId4"/>
    <sheet name="④ 登録数の分布" sheetId="5" r:id="rId5"/>
    <sheet name="⑤ 視聴者グループ" sheetId="6" r:id="rId6"/>
    <sheet name="📋 用語・手法の説明"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5" l="1"/>
  <c r="D13" i="3"/>
  <c r="C13" i="3"/>
</calcChain>
</file>

<file path=xl/sharedStrings.xml><?xml version="1.0" encoding="utf-8"?>
<sst xmlns="http://schemas.openxmlformats.org/spreadsheetml/2006/main" count="436" uniqueCount="349">
  <si>
    <t>YouTube 視聴者ネットワーク分析レポート</t>
  </si>
  <si>
    <t>「視聴者は普段どんなチャンネルを見ているのか？」—— コメント投稿者808人の公開登録データを分析</t>
  </si>
  <si>
    <t>分析日: 2026-06-22  |  参考動画: 「10万人の登録者はどんなチャンネルを見ているのか？」（データで語る棒人間）</t>
  </si>
  <si>
    <t>👥 観測した視聴者数</t>
  </si>
  <si>
    <t>📺 登録先チャンネルの総数</t>
  </si>
  <si>
    <t>📌 1人あたりの登録数
（中央値）</t>
  </si>
  <si>
    <t>🏆 最多登録チャンネルの
視聴者登録率</t>
  </si>
  <si>
    <t>🔍 発見した
視聴者グループ数</t>
  </si>
  <si>
    <t>⭐ 最大「隠れた相性」スコア</t>
  </si>
  <si>
    <t>808人</t>
  </si>
  <si>
    <t>106,568ch</t>
  </si>
  <si>
    <t>162ch</t>
  </si>
  <si>
    <t>32.8%</t>
  </si>
  <si>
    <t>50グループ</t>
  </si>
  <si>
    <t>181倍</t>
  </si>
  <si>
    <t>公開登録が確認できた
コメント投稿者の合計</t>
  </si>
  <si>
    <t>視聴者全員の登録先を合算</t>
  </si>
  <si>
    <t>1人が登録している
チャンネル数</t>
  </si>
  <si>
    <t>パラノイア【有益】
808人中265人が登録</t>
  </si>
  <si>
    <t>よく似た視聴履歴を持つ
チャンネルのかたまり</t>
  </si>
  <si>
    <t>一般ユーザー比181倍の確率で
本チャンネル視聴者が登録</t>
  </si>
  <si>
    <t>💡 この分析で分かったこと</t>
  </si>
  <si>
    <t>① 視聴者の関心は自己啓発・ビジネス系が中心</t>
  </si>
  <si>
    <t>最も多く登録されていたのは「パラノイア【有益】」（32.8%）。上位は自己啓発・読書要約・ビジネス系が独占。参考動画（科学・教育系チャンネル）とは傾向が異なり、本チャンネルの視聴者層の特徴が出ている。</t>
  </si>
  <si>
    <t>② 幅広いジャンルにわたって情報収集している</t>
  </si>
  <si>
    <t>上位50チャンネルを分類すると、ニュース・健康・雑学・エンタメなど多岐にわたる。視聴者は特定ジャンルに限らず幅広く情報収集する傾向がある。</t>
  </si>
  <si>
    <t>③ 登録者数が多い ≠ 本チャンネルと相性が良い</t>
  </si>
  <si>
    <t>大型チャンネルでも「本チャンネルの視聴者に特に選ばれている」とは限らない。隠れた相性スコアTop40のほとんどは、スピリチュアル系の小〜中規模チャンネルが占めており、視聴者の深い関心が見えてくる。</t>
  </si>
  <si>
    <t>④ 注意：このデータの見方</t>
  </si>
  <si>
    <t>観測できたのは「公開登録設定ON」のコメント投稿者808人のみ。登録を非公開にしている視聴者は含まれないため、全視聴者を完全に代表するデータではない。</t>
  </si>
  <si>
    <t>📹 参考動画（データで語る棒人間）との比較</t>
  </si>
  <si>
    <t>比較項目</t>
  </si>
  <si>
    <t>参考動画（10万人チャンネル）</t>
  </si>
  <si>
    <t>本データ（実測値）</t>
  </si>
  <si>
    <t>差異・補足</t>
  </si>
  <si>
    <t>観測した視聴者数</t>
  </si>
  <si>
    <t>1,000人（10万人から無作為抽出）</t>
  </si>
  <si>
    <t>808人（公開登録のある全員を採用）</t>
  </si>
  <si>
    <t>本データは参考動画より規模がやや小さい</t>
  </si>
  <si>
    <t>登録先チャンネル数</t>
  </si>
  <si>
    <t>約99,000チャンネル</t>
  </si>
  <si>
    <t>106,568チャンネル</t>
  </si>
  <si>
    <t>ほぼ同規模（本データがわずかに多い）</t>
  </si>
  <si>
    <t>登録のリンク総数</t>
  </si>
  <si>
    <t>約400,000本</t>
  </si>
  <si>
    <t>235,024本</t>
  </si>
  <si>
    <t>視聴者数の差が影響</t>
  </si>
  <si>
    <t>視聴者の主な関心</t>
  </si>
  <si>
    <t>科学・教育コンテンツが中心</t>
  </si>
  <si>
    <t>自己啓発・ビジネス・読書が中心</t>
  </si>
  <si>
    <t>どちらも学習志向が強い視聴者層</t>
  </si>
  <si>
    <t>最多登録チャンネル</t>
  </si>
  <si>
    <t>チャンネルにより異なる</t>
  </si>
  <si>
    <t>パラノイア【有益】（32.8%）</t>
  </si>
  <si>
    <t>上位は自己啓発・教養系が独占</t>
  </si>
  <si>
    <t>📂 各シートへのリンク（クリックでジャンプ）</t>
  </si>
  <si>
    <t>① 人気チャンネルTop50</t>
  </si>
  <si>
    <t>② 視聴者の興味ジャンル</t>
  </si>
  <si>
    <t>③ 隠れた相性チャンネル</t>
  </si>
  <si>
    <t>④ 登録数の分布</t>
  </si>
  <si>
    <t>⑤ 視聴者グループ</t>
  </si>
  <si>
    <t>📋 用語・手法の説明</t>
  </si>
  <si>
    <t>① 視聴者がよく見ているチャンネル Top50（登録者率の高い順）</t>
  </si>
  <si>
    <t>「登録者率」＝ 本チャンネルの視聴者808人のうち、そのチャンネルを登録している人の割合。例）32.8% ＝ 808人中265人が登録。ジャンルは各チャンネルの内容を精査して分類。</t>
  </si>
  <si>
    <t>順位</t>
  </si>
  <si>
    <t>チャンネル名</t>
  </si>
  <si>
    <t>登録している
視聴者数（人）</t>
  </si>
  <si>
    <t>登録者率
（%）</t>
  </si>
  <si>
    <t>ジャンル</t>
  </si>
  <si>
    <t>🥇 1位</t>
  </si>
  <si>
    <t>Paranoia_パラノイア【有益】</t>
  </si>
  <si>
    <t>🌱 自己啓発・マインド</t>
  </si>
  <si>
    <t>🥈 2位</t>
  </si>
  <si>
    <t>両学長 リベラルアーツ大学</t>
  </si>
  <si>
    <t>💼 お金・資産形成</t>
  </si>
  <si>
    <t>🥉 3位</t>
  </si>
  <si>
    <t>本要約チャンネル【毎日18時更新】</t>
  </si>
  <si>
    <t>📚 読書・本要約</t>
  </si>
  <si>
    <t>4位</t>
  </si>
  <si>
    <t xml:space="preserve">NAKATA UNIVERSITY </t>
  </si>
  <si>
    <t>5位</t>
  </si>
  <si>
    <t>ひすいこたろうの名言セラピー</t>
  </si>
  <si>
    <t>6位</t>
  </si>
  <si>
    <t>PIVOT 公式チャンネル</t>
  </si>
  <si>
    <t>📰 ビジネス・ニュース</t>
  </si>
  <si>
    <t>7位</t>
  </si>
  <si>
    <t>学識サロン</t>
  </si>
  <si>
    <t>8位</t>
  </si>
  <si>
    <t>哲理学作家さとうみつろう『神さまとのおしゃべり』チャンネル</t>
  </si>
  <si>
    <t>✨ スピリチュアル</t>
  </si>
  <si>
    <t>9位</t>
  </si>
  <si>
    <t>Naokiman Show</t>
  </si>
  <si>
    <t>🔮 雑学・ミステリー</t>
  </si>
  <si>
    <t>10位</t>
  </si>
  <si>
    <t>フェルミ漫画大学</t>
  </si>
  <si>
    <t>11位</t>
  </si>
  <si>
    <t>メンタリスト DaiGo</t>
  </si>
  <si>
    <t>🧠 心理・メンタル</t>
  </si>
  <si>
    <t>12位</t>
  </si>
  <si>
    <t>パソコン博士TAIKI</t>
  </si>
  <si>
    <t>💻 IT・テクノロジー</t>
  </si>
  <si>
    <t>13位</t>
  </si>
  <si>
    <t>NewsPicks /ニューズピックス</t>
  </si>
  <si>
    <t>14位</t>
  </si>
  <si>
    <t>堀江貴文 ホリエモン</t>
  </si>
  <si>
    <t>15位</t>
  </si>
  <si>
    <t>TOLAND VLOG</t>
  </si>
  <si>
    <t>16位</t>
  </si>
  <si>
    <t>NMS STUDIO</t>
  </si>
  <si>
    <t>17位</t>
  </si>
  <si>
    <t>脱・税理士スガワラくん</t>
  </si>
  <si>
    <t>18位</t>
  </si>
  <si>
    <t>ミルクティー飲みたい</t>
  </si>
  <si>
    <t>🎵 エンタメ・音楽</t>
  </si>
  <si>
    <t>19位</t>
  </si>
  <si>
    <t>ANNnewsCH</t>
  </si>
  <si>
    <t>20位</t>
  </si>
  <si>
    <t>マコなり社長</t>
  </si>
  <si>
    <t>21位</t>
  </si>
  <si>
    <t>サラタメさん</t>
  </si>
  <si>
    <t>22位</t>
  </si>
  <si>
    <t>ReHacQ−リハック−【公式】</t>
  </si>
  <si>
    <t>23位</t>
  </si>
  <si>
    <t>腰痛・肩こり駆け込み寺【山内義弘】</t>
  </si>
  <si>
    <t>💆 健康・美容・生活</t>
  </si>
  <si>
    <t>24位</t>
  </si>
  <si>
    <t>THE FIRST TAKE</t>
  </si>
  <si>
    <t>25位</t>
  </si>
  <si>
    <t>Dr. Zion Kabasawa</t>
  </si>
  <si>
    <t>26位</t>
  </si>
  <si>
    <t>TBS NEWS DIG Powered by JNN</t>
  </si>
  <si>
    <t>27位</t>
  </si>
  <si>
    <t>三崎優太 元青汁王子</t>
  </si>
  <si>
    <t>28位</t>
  </si>
  <si>
    <t>大人の学び直しTV</t>
  </si>
  <si>
    <t>29位</t>
  </si>
  <si>
    <t>Captain AT Channel</t>
  </si>
  <si>
    <t>30位</t>
  </si>
  <si>
    <t>ABEMA Prime #アベプラ【公式】</t>
  </si>
  <si>
    <t>31位</t>
  </si>
  <si>
    <t>料理研究家リュウジのバズレシピ</t>
  </si>
  <si>
    <t>32位</t>
  </si>
  <si>
    <t>コヤッキースタジオ</t>
  </si>
  <si>
    <t>33位</t>
  </si>
  <si>
    <t>潜在意識ラボ / 純</t>
  </si>
  <si>
    <t>34位</t>
  </si>
  <si>
    <t>Ken Honda 本田健</t>
  </si>
  <si>
    <t>35位</t>
  </si>
  <si>
    <t>楽待 RAKUMACHI</t>
  </si>
  <si>
    <t>36位</t>
  </si>
  <si>
    <t>Life Changing School</t>
  </si>
  <si>
    <t>37位</t>
  </si>
  <si>
    <t>テレ東BIZ ダイジェスト</t>
  </si>
  <si>
    <t>38位</t>
  </si>
  <si>
    <t>エガちゃんねる EGA-CHANNEL</t>
  </si>
  <si>
    <t>39位</t>
  </si>
  <si>
    <t>ハッピー研究所</t>
  </si>
  <si>
    <t>40位</t>
  </si>
  <si>
    <t>街録ch〜あなたの人生、教えて下さい〜</t>
  </si>
  <si>
    <t>41位</t>
  </si>
  <si>
    <t>MEDITERRACE</t>
  </si>
  <si>
    <t>42位</t>
  </si>
  <si>
    <t>ブライトサイド | Bright Side Japan</t>
  </si>
  <si>
    <t>43位</t>
  </si>
  <si>
    <t>ゆう先生の美容整体塾【京都の整体院悠】</t>
  </si>
  <si>
    <t>44位</t>
  </si>
  <si>
    <t>アバタロー</t>
  </si>
  <si>
    <t>45位</t>
  </si>
  <si>
    <t>Bappa Shota</t>
  </si>
  <si>
    <t>46位</t>
  </si>
  <si>
    <t>HIROSHI IKI</t>
  </si>
  <si>
    <t>47位</t>
  </si>
  <si>
    <t>VAIENCE バイエンス</t>
  </si>
  <si>
    <t>🔬 科学・テクノロジー</t>
  </si>
  <si>
    <t>48位</t>
  </si>
  <si>
    <t>KUROMARU. Mystery</t>
  </si>
  <si>
    <t>49位</t>
  </si>
  <si>
    <t>Honami</t>
  </si>
  <si>
    <t>50位</t>
  </si>
  <si>
    <t>大愚和尚の一問一答/Osho Taigu’s Heart of Buddha</t>
  </si>
  <si>
    <t>※ 登録者率 = 観測した視聴者808人のうち何人が登録しているか ÷ 808。ジャンルはチャンネルの内容を精査して分類（自動分類ではなく手動確認済み）。</t>
  </si>
  <si>
    <t>② 視聴者が興味を持っているジャンルの内訳（Top150チャンネル分析）</t>
  </si>
  <si>
    <t>視聴者がよく見るTop150チャンネルをジャンルごとに整理。「自己啓発・学び」が最多で、続いてビジネス・お金、ニュース・社会の順。参考動画（科学・教育チャンネル）では科学系が多かったのに対し、本チャンネルの視聴者は自己啓発・ビジネス系への関心が特に強い傾向がある。（※「その他・未分類」の89チャンネルを除いた7ジャンルの集計）</t>
  </si>
  <si>
    <t>チャンネル数</t>
  </si>
  <si>
    <t>視聴者の登録数
（延べ人数）</t>
  </si>
  <si>
    <t>このジャンルの
占める割合</t>
  </si>
  <si>
    <t>🌱 自己啓発・学び</t>
  </si>
  <si>
    <t>💼 ビジネス・投資・お金</t>
  </si>
  <si>
    <t>📰 ニュース・社会</t>
  </si>
  <si>
    <t>📚 読書・要約・教養</t>
  </si>
  <si>
    <t>💆 美容・健康・生活</t>
  </si>
  <si>
    <t>合計（その他・未分類を除く）</t>
  </si>
  <si>
    <t>※「その他・未分類」（89チャンネル・6,767リンク）を除いた集計。ジャンル分類はチャンネル名・概要を確認して手動で行った推定分類。</t>
  </si>
  <si>
    <t>③ 隠れた相性チャンネル Top40 ── 「小規模でも本チャンネルの視聴者にだけ異常に選ばれているチャンネル」</t>
  </si>
  <si>
    <t>💡 なぜ「人気」だけでは不十分なのか？</t>
  </si>
  <si>
    <t>推定総登録者数
（チャンネル全体）</t>
  </si>
  <si>
    <t>隠れた相性
スコア（倍）</t>
  </si>
  <si>
    <t>世界のドコかでひきこもり</t>
  </si>
  <si>
    <t>イヌヤマのジブン研究所</t>
  </si>
  <si>
    <t>箱舟Noa</t>
  </si>
  <si>
    <t>VISIONARY.思考は現実を変える。</t>
  </si>
  <si>
    <t>超意識スピリチュアル byメタ意識願望実現マスターCocco</t>
  </si>
  <si>
    <t>エム</t>
  </si>
  <si>
    <t>Manifestation Channel: Live the Life You Desire</t>
  </si>
  <si>
    <t>本要約カフェ</t>
  </si>
  <si>
    <t>タフティ【TUFTI】巫女のイシス神殿</t>
  </si>
  <si>
    <t>潜在意識コンサルタント・いっちー</t>
  </si>
  <si>
    <t>もちづき | 引き寄せを実現するノート学</t>
  </si>
  <si>
    <t>オーロラガーデン</t>
  </si>
  <si>
    <t>トランサーフィン研究所</t>
  </si>
  <si>
    <t>有馬樹里 脳科学研究家</t>
  </si>
  <si>
    <t>苫米地英人博士の教え</t>
  </si>
  <si>
    <t>強者の道【モチベーションアップ】</t>
  </si>
  <si>
    <t>きたの先生 | 日本一ロジカルな潜在意識の活用法🌏</t>
  </si>
  <si>
    <t>2ch不思議の森</t>
  </si>
  <si>
    <t>リアトラQNA</t>
  </si>
  <si>
    <t>ザ・ルール 【人生の攻略法】</t>
  </si>
  <si>
    <t>みほチャンネル【幸せになれる女の思考】</t>
  </si>
  <si>
    <t>潜在意識の本質 らいが</t>
  </si>
  <si>
    <t>【ゆっくり引き寄せ解説】億らす</t>
  </si>
  <si>
    <t>西田文郎公式チャンネル</t>
  </si>
  <si>
    <t>夢実現チャンネル-Y.K</t>
  </si>
  <si>
    <t>しろ先生🌙潜在意識の専門家</t>
  </si>
  <si>
    <t>次元越境 × Zero Point - Shunpeter Z</t>
  </si>
  <si>
    <t>苫米地英人の一言コーチング</t>
  </si>
  <si>
    <t>クロノ【コンテンツ販売研究所】</t>
  </si>
  <si>
    <t xml:space="preserve">潜在意識の調律師 チューン </t>
  </si>
  <si>
    <t>あおいの幸せ引き寄せ波動ラボ</t>
  </si>
  <si>
    <t>脳力開発コーチ　KEIKO先生</t>
  </si>
  <si>
    <t xml:space="preserve"> The Joy Attraction Channel</t>
  </si>
  <si>
    <t>潜在意識の本音-ソウルフルカウンセラーKEN</t>
  </si>
  <si>
    <t>今・ここ・すべて</t>
  </si>
  <si>
    <t>THINK.【願望・理想を、創造する。】</t>
  </si>
  <si>
    <t>MERRY | 幸せに働く人のマインドコーチ</t>
  </si>
  <si>
    <t>瞑想仮面ラーバリアン</t>
  </si>
  <si>
    <t>宇宙よりの思考</t>
  </si>
  <si>
    <t>Miebee★ミービー</t>
  </si>
  <si>
    <t>※「隠れた相性スコア（倍）」= 本チャンネル視聴者の登録率 ÷ YouTube全体での平均登録率（推定）。1倍＝全体平均と同じ、100倍＝全体平均の100倍の確率で本視聴者が登録していることを意味する。上位はスピリチュアル・潜在意識・引き寄せ系チャンネルが多く、本チャンネル視聴者の深い関心が浮かび上がる。</t>
  </si>
  <si>
    <t>④ 視聴者1人あたりの公開登録チャンネル数の分布</t>
  </si>
  <si>
    <t>1人の視聴者が公開登録しているチャンネル数をグループ分けして集計。「0〜99チャンネル」が最多（280人）で、登録数が少ない視聴者が多い。「900〜999チャンネル」に小さな山があるのは、YouTubeのAPI取得上限（1,000件）に近い視聴者がいるためと考えられる。（「1000〜1099」が0人なのも同様の理由）</t>
  </si>
  <si>
    <t>登録チャンネル数の範囲</t>
  </si>
  <si>
    <t>視聴者数（人）</t>
  </si>
  <si>
    <t>全体に占める割合</t>
  </si>
  <si>
    <t>目安</t>
  </si>
  <si>
    <t>0-99 チャンネル</t>
  </si>
  <si>
    <t>登録数が少ない層</t>
  </si>
  <si>
    <t>100-199 チャンネル</t>
  </si>
  <si>
    <t>平均的な登録数の層</t>
  </si>
  <si>
    <t>200-299 チャンネル</t>
  </si>
  <si>
    <t>300-399 チャンネル</t>
  </si>
  <si>
    <t>400-499 チャンネル</t>
  </si>
  <si>
    <t>500-599 チャンネル</t>
  </si>
  <si>
    <t>600-699 チャンネル</t>
  </si>
  <si>
    <t>700-799 チャンネル</t>
  </si>
  <si>
    <t>800-899 チャンネル</t>
  </si>
  <si>
    <t>900-999 チャンネル</t>
  </si>
  <si>
    <t>⚠ API上限（1,000件）付近の層</t>
  </si>
  <si>
    <t>1000-1099 チャンネル</t>
  </si>
  <si>
    <t>（取得上限のため0人）</t>
  </si>
  <si>
    <t>合計</t>
  </si>
  <si>
    <t>※ YouTube Data API の取得上限は1,000件のため、それ以上登録しているユーザーでも999件までしか取得できない場合がある。</t>
  </si>
  <si>
    <t>⑤ 視聴者グループ ── よく一緒に登録されるチャンネルのかたまり（Top20）</t>
  </si>
  <si>
    <t>「同じ視聴者に一緒に登録されることが多いチャンネル」をコンピュータが自動でグループ分けしたもの（Louvainアルゴリズムを使用）。合計50グループを検出。上位5グループはそれぞれ2,000〜3,000チャンネル規模の大きなかたまりで、エンタメ・バラエティ系、ビジネス・不動産系、スピリチュアル系など、視聴者の関心のかたまりが見えてくる。</t>
  </si>
  <si>
    <t>グループ名</t>
  </si>
  <si>
    <t>グループ内
チャンネル数</t>
  </si>
  <si>
    <t>グループ内の
リンク数（つながり）</t>
  </si>
  <si>
    <t>代表的なチャンネル（上位）</t>
  </si>
  <si>
    <t>#1  エンタメ・バラエティ系</t>
  </si>
  <si>
    <t>メンタリスト DaiGo / 令和の虎CHANNEL / レインボーコントチャンネル / 手越祐也チャンネル / ひなちゃんねる / Hinata Kato / THE FIRST TAKE / THE ROLAND SHOW【公式】 / 狩野英孝【公式チャンネル】EIKO!GO!!</t>
  </si>
  <si>
    <t>#2  ビジネス・不動産・副業系</t>
  </si>
  <si>
    <t>mikimiki web スクール / 楽待 RAKUMACHI / 大人の学び直しTV / 堀江貴文 ホリエモン / ウェブ職TV@AIセキュリティ専門 / KEITO【AI&amp;WEB ch】 / PIVOT 公式チャンネル / マコなり社長</t>
  </si>
  <si>
    <t>#3  スピリチュアル・引き寄せ系</t>
  </si>
  <si>
    <t>幸運アファメーション / スピな暮らし【ゆっくり解説】 / YOKO の宇宙研究CH / 吉岡純子  JUNKO YOSHIOKA / KIKO channel / 心理カウンセラーmasa / akikoSpiritual / ハッピー研究所</t>
  </si>
  <si>
    <t>#4  料理・海外・バラエティ系</t>
  </si>
  <si>
    <t>魔理沙のズボラ飯 / Gyoza Quest / ブライトサイド | Bright Side Japan / Marine Ch. 宝鐘マリン / ド文系でも楽しい【ゆっくり数学の雑学】 / ゆっくりお金アカデミー / VAIENCE バイエンス / ショーツレンジャー</t>
  </si>
  <si>
    <t>#5  政治・保守・情報系</t>
  </si>
  <si>
    <t>我那覇真子チャンネル / カピバラチャンネル capybarachannel / 深田萌絵TV / おみそちゃんねる【世界どん深闇ニュース】 / 百田尚樹チャンネル / むすび大学チャンネル / 言論テレビ / 大紀元 エポックタイムズ・ジャパン</t>
  </si>
  <si>
    <t>#6  FX・投資トレード系</t>
  </si>
  <si>
    <t>【FX初心者ch】 by ユーちぇる監督 / 【FX攻略】トレーダーワタル / FXサロン-波乗り道場- / FXism 及川圭哉 / ましろ【FXトレーダー】 / おバカな妹にFX教えてみた / FXゴールドナビ / 海沼みつしろ GREAT INVESTOR</t>
  </si>
  <si>
    <t>#7  音楽・ギター・ボイス系</t>
  </si>
  <si>
    <t>東本ボイストレーニング / Nama Guitar Channel / Rickey / Toshiki Soejima / Guitar Lesson for Beginner / 作曲家・和田貴史の庭 / Seiji Igusa / Kazuki's Guitar Channel</t>
  </si>
  <si>
    <t>#8  武道・格闘技系</t>
  </si>
  <si>
    <t>Kyokushin World-Champ kouketsu YouTube-Dojo / 狂武蔵たくちゃんねる / ansony jack / イス軸法®︎Channel / YASU Road / Togo Ishii 1inch channel /  BAB JAPAN / Nationale Opera &amp; Ballet</t>
  </si>
  <si>
    <t>#9  野球・スポーツ系</t>
  </si>
  <si>
    <t>【公式】落合博満のオレ流チャンネル / Satozaki Channel / 上原浩治の雑談魂 / スポーツナビ 野球チャンネル / 松坂大輔 official YouTube  / [ラミレス公式]ラミちゃんねる / 熱スギヤch【杉谷拳士 公式】 / よしひこチャンネル</t>
  </si>
  <si>
    <t>#10  クイズ・ペット・趣味系</t>
  </si>
  <si>
    <t>Chorakuji Temple in Nasu / もんたの日常 /  Injured former stray cat "Sasami" / かご猫 Ｂｌｏｇ / ポムさんとしまちゃん / ねこべや。 / のりたま ちゃんねる / ウルンとリコリンファミリー / まつもとたける</t>
  </si>
  <si>
    <t>#11  ゲーム・クイズ・ファミリー系</t>
  </si>
  <si>
    <t>わくわくクイズひろば / たこちゃんねる / あしざるFC / ファンランド / 小麦アレルギー / 光ショーツ / にっこりレモン🍋 / らゆまPRINCE👑🍌</t>
  </si>
  <si>
    <t>#12  タロット・占い・スピリチュアル系</t>
  </si>
  <si>
    <t>どれ / NATSU  TAROT / ルアナママンのカードリーディング / MyButterfly / satori×bona blanc / 立花れいこl愛活 channel / houseタロット / milky Card therapy</t>
  </si>
  <si>
    <t>#13  サーフィン・アウトドア系</t>
  </si>
  <si>
    <t>村田親子 / 田中英義 Hideyoshi Tanaka / Sasurai Surf TV / 大原洋人Channel / プロサーファー河村カイサ / Yugo Kawabata / NANBAN / SaltwaterTV</t>
  </si>
  <si>
    <t>#14  スキー・スポーツ系</t>
  </si>
  <si>
    <t>スペーレンスキーTV / すまはちサロン / SnowHub / Filip Chwistek (ski-world) / Zero1channel / TJMスキーちゃんねる / Courage, Hope, and Challenge for the Middle-Aged / Takehiro SKI Channel</t>
  </si>
  <si>
    <t>#15  アニメ・ワンピース系</t>
  </si>
  <si>
    <t>コンコック / ドロピザ 【Drop the Pizza】 / Another Blue 【3代目ワンピース知識王】 / スーパーカミキカンデ【ONE PIECEが大好きな神木】 / もっちー / コーキ タコヤキ 大阪 / ドロヌマ【Drop the 沼】 / 近藤豪 / 職人として生きる</t>
  </si>
  <si>
    <t>#16  ピアノ・クラシック音楽系</t>
  </si>
  <si>
    <t>Jacob Koller / The Mad Arranger (Jacob Koller) / SHUMPEI PIANO CHANNEL / Dietmar Steinhauer / Yomii Piano よみぃ / Haruna Pianist / Mr.Forte / pianist MAI MORIMOTO / ピアノフォルテ / pf channel</t>
  </si>
  <si>
    <t>#17  ポーカー系</t>
  </si>
  <si>
    <t>しゅんぽーかー / ヨコサワポーカーチャンネル / Jaysol / Masato "World Wide" Yokosawa - Poker - / ポーカーの沼 / 普段のヨコサワ / VAMOS POKER【バモスポーカー】 / カジノちゃんねる</t>
  </si>
  <si>
    <t>#18  韓国語学習系</t>
  </si>
  <si>
    <t>オヌルド韓国語[오늘도 한국어] / トリリンガルのトミ【韓国語講座】 / ナチュラル韓国語 Natural Korean / Joo [korean Learning channel] / でき韓 韓国語講座_パク先生 박센세 / おしゃべり韓国語 / いんぎんのハングル広場</t>
  </si>
  <si>
    <t xml:space="preserve">You can learn by fishing. / K's fishing channel / RAD FISHING/高橋優介 / TSURIHACK TV / 悪食プリンセス グラトニーヌ </t>
  </si>
  <si>
    <t>KEIJU / STUTS / AOTL Official / AKAZUCHI / KID FRESINO</t>
  </si>
  <si>
    <t>参考動画「10万人の登録者はどんなチャンネルを見ているのか？」（データで語る棒人間）の手法を本データで再現した分析レポートです。</t>
  </si>
  <si>
    <t>🔄 この分析はどのように行ったか（ステップ解説）</t>
  </si>
  <si>
    <t>Step 1 ── 視聴者リストの収集</t>
  </si>
  <si>
    <t>本チャンネルにコメントを書いたユーザーのうち、登録チャンネルを公開設定にしている808人を「観測する視聴者（パネル）」として選定。</t>
  </si>
  <si>
    <t>公開登録ONの視聴者のみ観測可能。非公開の視聴者は含まれない（限界点）。</t>
  </si>
  <si>
    <t>Step 2 ── 各視聴者の登録チャンネルを取得</t>
  </si>
  <si>
    <t>808人それぞれが登録している他のチャンネルをYouTube APIで取得。合計106,568チャンネル、235,024本のリンクを収集。</t>
  </si>
  <si>
    <t>参考動画では視聴者1,000人・約99,000チャンネル・約400,000リンクと同規模。</t>
  </si>
  <si>
    <t>Step 3 ── どのチャンネルが多く登録されているか集計</t>
  </si>
  <si>
    <t>视聴者全員の登録チャンネルを集計し、多くの視聴者に登録されているチャンネルをランキング化。→「① 人気チャンネルTop50」シート</t>
  </si>
  <si>
    <t>登録者率 = 808人中何人がそのチャンネルを登録しているか ÷ 808。</t>
  </si>
  <si>
    <t>Step 4 ── 一緒に登録されているチャンネルをグループ化</t>
  </si>
  <si>
    <t>「同じ視聴者に一緒に登録されることが多いチャンネル」をコンピュータが自動でグループ分け（Louvainアルゴリズム）。50グループを検出。</t>
  </si>
  <si>
    <t>→「⑤ 視聴者グループ」シート。グループ名は内容を確認して手動で付与。</t>
  </si>
  <si>
    <t>Step 5 ── 「隠れた相性スコア」の計算</t>
  </si>
  <si>
    <t>人気チャンネルは「みんなが見るから」登録率が高くなりがち。そこでチャンネルの規模（総登録者数）を考慮して補正した「隠れた相性スコア」を算出。</t>
  </si>
  <si>
    <t>スコア = 本チャンネル視聴者の登録率 ÷ YouTube全体での推定平均登録率。→「③ 隠れた相性チャンネル」シート</t>
  </si>
  <si>
    <t>用語</t>
  </si>
  <si>
    <t>意味・説明</t>
  </si>
  <si>
    <t>本データでの具体例</t>
  </si>
  <si>
    <t>登録者率</t>
  </si>
  <si>
    <t>本チャンネルの視聴者808人のうち、そのチャンネルを登録している人の割合（%）。</t>
  </si>
  <si>
    <t>32.8% ＝ 808人中265人がパラノイア【有益】を登録している</t>
  </si>
  <si>
    <t>チャンネルの規模（総登録者数）を考慮して補正した「本当の相性の高さ」。1倍＝全体平均と同じ。値が高いほど、本チャンネル視聴者に特別に選ばれているチャンネル。</t>
  </si>
  <si>
    <t>181倍 ＝「世界のドコかでひきこもり」は一般ユーザーより181倍の確率で本チャンネル視聴者が登録</t>
  </si>
  <si>
    <t>「同じ視聴者に一緒に登録されることが多いチャンネル」を自動でグループ化したもの。似た関心を持つ視聴者の「かたまり」を可視化。</t>
  </si>
  <si>
    <t>50グループを検出。最大グループ（エンタメ・バラエティ系）は3,015チャンネル</t>
  </si>
  <si>
    <t>分析対象となる視聴者のこと。本データでは登録チャンネルを公開にしているコメント投稿者808人。</t>
  </si>
  <si>
    <t>非公開設定の視聴者は観測できないため、全視聴者の完全な代表ではない</t>
  </si>
  <si>
    <t>「視聴者○○さんがチャンネルAを登録している」という1本1本のつながりの総数。</t>
  </si>
  <si>
    <t>本データでは235,024本（参考動画チャンネルは約400,000本）</t>
  </si>
  <si>
    <t>Louvainアルゴリズム</t>
  </si>
  <si>
    <t>ネットワーク内のグループを自動で見つけるコンピュータの手法。「つながりが多いもの同士」をグループ化する。</t>
  </si>
  <si>
    <t>本データで50グループを自動検出</t>
  </si>
  <si>
    <t>出典: YouTube Data API（2026-06-22収集）| 参考: データで語る棒人間「10万人の登録者はどんなチャンネルを見ているのか？」| 生成: 2026-06-24</t>
  </si>
  <si>
    <r>
      <rPr>
        <b/>
        <sz val="12"/>
        <color rgb="FF1A56DB"/>
        <rFont val="Segoe UI Emoji"/>
        <family val="2"/>
      </rPr>
      <t>📖</t>
    </r>
    <r>
      <rPr>
        <b/>
        <sz val="12"/>
        <color rgb="FF1A56DB"/>
        <rFont val="Calibri"/>
        <family val="2"/>
      </rPr>
      <t xml:space="preserve"> </t>
    </r>
    <r>
      <rPr>
        <b/>
        <sz val="12"/>
        <color rgb="FF1A56DB"/>
        <rFont val="ＭＳ ゴシック"/>
        <family val="3"/>
        <charset val="128"/>
      </rPr>
      <t>用語の説明</t>
    </r>
    <phoneticPr fontId="27"/>
  </si>
  <si>
    <t>隠れた相性スコア
（親和性リフト）</t>
    <phoneticPr fontId="27"/>
  </si>
  <si>
    <t>視聴者グループ
（コミュニティ）</t>
    <phoneticPr fontId="27"/>
  </si>
  <si>
    <t>観測した視聴者
（観測パネル）</t>
    <phoneticPr fontId="27"/>
  </si>
  <si>
    <t>登録のリンク数
（エッジ数）</t>
    <phoneticPr fontId="27"/>
  </si>
  <si>
    <r>
      <t xml:space="preserve">#19  </t>
    </r>
    <r>
      <rPr>
        <b/>
        <sz val="10"/>
        <color rgb="FF1F2937"/>
        <rFont val="ＭＳ ゴシック"/>
        <family val="3"/>
        <charset val="128"/>
      </rPr>
      <t>釣り系</t>
    </r>
    <phoneticPr fontId="27"/>
  </si>
  <si>
    <r>
      <t xml:space="preserve">#20  </t>
    </r>
    <r>
      <rPr>
        <b/>
        <sz val="10"/>
        <color rgb="FF1F2937"/>
        <rFont val="ＭＳ ゴシック"/>
        <family val="3"/>
        <charset val="128"/>
      </rPr>
      <t>ヒップホップ・音楽系</t>
    </r>
    <phoneticPr fontId="27"/>
  </si>
  <si>
    <t>たとえば「ヒカキン」は登録者数が多くても、それは「日本人の多くが知っているから」であり、本チャンネルの視聴者だけが特別に選んでいるわけではありません。一方、小規模なスピリチュアル系チャンネルが「本チャンネル視聴者の中だけで高い登録率」を示している場合、それが本当に視聴者の深い関心を反映しているサインです。</t>
    <phoneticPr fontId="27"/>
  </si>
  <si>
    <r>
      <rPr>
        <sz val="10"/>
        <color rgb="FF1F2937"/>
        <rFont val="ＭＳ ゴシック"/>
        <family val="3"/>
        <charset val="128"/>
      </rPr>
      <t xml:space="preserve">【「隠れた相性スコア」とは？】
</t>
    </r>
    <r>
      <rPr>
        <sz val="10"/>
        <color rgb="FF1F2937"/>
        <rFont val="Calibri"/>
        <family val="2"/>
      </rPr>
      <t>YouTube</t>
    </r>
    <r>
      <rPr>
        <sz val="10"/>
        <color rgb="FF1F2937"/>
        <rFont val="ＭＳ ゴシック"/>
        <family val="3"/>
        <charset val="128"/>
      </rPr>
      <t>全体で平均的に登録されている確率を「</t>
    </r>
    <r>
      <rPr>
        <sz val="10"/>
        <color rgb="FF1F2937"/>
        <rFont val="Calibri"/>
        <family val="2"/>
      </rPr>
      <t>1</t>
    </r>
    <r>
      <rPr>
        <sz val="10"/>
        <color rgb="FF1F2937"/>
        <rFont val="ＭＳ ゴシック"/>
        <family val="3"/>
        <charset val="128"/>
      </rPr>
      <t>倍」として、本チャンネルの視聴者がそのチャンネルを「何倍の確率」で登録しているかを示したスコアです。
例）スコア</t>
    </r>
    <r>
      <rPr>
        <sz val="10"/>
        <color rgb="FF1F2937"/>
        <rFont val="Calibri"/>
        <family val="2"/>
      </rPr>
      <t>181</t>
    </r>
    <r>
      <rPr>
        <sz val="10"/>
        <color rgb="FF1F2937"/>
        <rFont val="ＭＳ ゴシック"/>
        <family val="3"/>
        <charset val="128"/>
      </rPr>
      <t>倍</t>
    </r>
    <r>
      <rPr>
        <sz val="10"/>
        <color rgb="FF1F2937"/>
        <rFont val="Calibri"/>
        <family val="2"/>
      </rPr>
      <t xml:space="preserve"> </t>
    </r>
    <r>
      <rPr>
        <sz val="10"/>
        <color rgb="FF1F2937"/>
        <rFont val="ＭＳ ゴシック"/>
        <family val="3"/>
        <charset val="128"/>
      </rPr>
      <t>＝「世界のドコかでひきこもり」は一般ユーザーに比べて本チャンネル視聴者が</t>
    </r>
    <r>
      <rPr>
        <sz val="10"/>
        <color rgb="FF1F2937"/>
        <rFont val="Calibri"/>
        <family val="2"/>
      </rPr>
      <t>181</t>
    </r>
    <r>
      <rPr>
        <sz val="10"/>
        <color rgb="FF1F2937"/>
        <rFont val="ＭＳ ゴシック"/>
        <family val="3"/>
        <charset val="128"/>
      </rPr>
      <t>倍の確率で登録している。
登録者数が多い有名チャンネルは「みんなが見ているから」登録されやすく、このスコアが低くなります。小規模でもスコアが高いチャンネルこそ、本チャンネルの視聴者と「本当に相性が良い」チャンネルです。</t>
    </r>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</si>
</sst>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quot;倍&quot;"/>
  </numFmts>
  <fonts count="36" x14ac:knownFonts="1">
    <font>
      <sz val="11"/>
      <color theme="1"/>
      <name val="ＭＳ Ｐゴシック"/>
      <family val="2"/>
      <scheme val="minor"/>
    </font>
    <font>
      <b/>
      <sz val="18"/>
      <color rgb="FF1F2937"/>
      <name val="Calibri"/>
    </font>
    <font>
      <sz val="10"/>
      <color rgb="FF6B7280"/>
      <name val="Calibri"/>
    </font>
    <font>
      <sz val="9"/>
      <color rgb="FF6B7280"/>
      <name val="Calibri"/>
    </font>
    <font>
      <b/>
      <sz val="8"/>
      <color rgb="FFFFFFFF"/>
      <name val="Calibri"/>
    </font>
    <font>
      <b/>
      <sz val="17"/>
      <color rgb="FFFFFFFF"/>
      <name val="Calibri"/>
    </font>
    <font>
      <sz val="8"/>
      <color rgb="FFBFDBFE"/>
      <name val="Calibri"/>
    </font>
    <font>
      <b/>
      <sz val="12"/>
      <color rgb="FF1A56DB"/>
      <name val="Calibri"/>
    </font>
    <font>
      <b/>
      <sz val="10"/>
      <color rgb="FF1F2937"/>
      <name val="Calibri"/>
    </font>
    <font>
      <sz val="10"/>
      <color rgb="FF1F2937"/>
      <name val="Calibri"/>
    </font>
    <font>
      <b/>
      <sz val="10"/>
      <color rgb="FFFFFFFF"/>
      <name val="Calibri"/>
    </font>
    <font>
      <b/>
      <sz val="9"/>
      <color rgb="FFFFFFFF"/>
      <name val="Calibri"/>
    </font>
    <font>
      <b/>
      <sz val="15"/>
      <color rgb="FF1F2937"/>
      <name val="Calibri"/>
    </font>
    <font>
      <b/>
      <sz val="9"/>
      <color rgb="FF0E9F6E"/>
      <name val="Calibri"/>
    </font>
    <font>
      <b/>
      <sz val="9"/>
      <color rgb="FFD97706"/>
      <name val="Calibri"/>
    </font>
    <font>
      <b/>
      <sz val="9"/>
      <color rgb="FF7C3AED"/>
      <name val="Calibri"/>
    </font>
    <font>
      <b/>
      <sz val="9"/>
      <color rgb="FF1A56DB"/>
      <name val="Calibri"/>
    </font>
    <font>
      <b/>
      <sz val="9"/>
      <color rgb="FF0891B2"/>
      <name val="Calibri"/>
    </font>
    <font>
      <b/>
      <sz val="9"/>
      <color rgb="FF6B7280"/>
      <name val="Calibri"/>
    </font>
    <font>
      <b/>
      <sz val="9"/>
      <color rgb="FFDC2626"/>
      <name val="Calibri"/>
    </font>
    <font>
      <b/>
      <sz val="9"/>
      <color rgb="FF2563EB"/>
      <name val="Calibri"/>
    </font>
    <font>
      <b/>
      <sz val="9"/>
      <color rgb="FFBE185D"/>
      <name val="Calibri"/>
    </font>
    <font>
      <b/>
      <sz val="9"/>
      <color rgb="FF059669"/>
      <name val="Calibri"/>
    </font>
    <font>
      <b/>
      <sz val="12"/>
      <color rgb="FFD97706"/>
      <name val="Calibri"/>
    </font>
    <font>
      <b/>
      <sz val="10"/>
      <color rgb="FFD97706"/>
      <name val="Calibri"/>
    </font>
    <font>
      <b/>
      <sz val="10"/>
      <color rgb="FFDC2626"/>
      <name val="Calibri"/>
    </font>
    <font>
      <sz val="10"/>
      <color rgb="FF1F2937"/>
      <name val="Calibri"/>
      <family val="2"/>
    </font>
    <font>
      <sz val="6"/>
      <name val="ＭＳ Ｐゴシック"/>
      <family val="3"/>
      <charset val="128"/>
      <scheme val="minor"/>
    </font>
    <font>
      <b/>
      <sz val="12"/>
      <color rgb="FF1A56DB"/>
      <name val="Segoe UI Emoji"/>
      <family val="2"/>
    </font>
    <font>
      <b/>
      <sz val="12"/>
      <color rgb="FF1A56DB"/>
      <name val="Calibri"/>
      <family val="2"/>
    </font>
    <font>
      <b/>
      <sz val="12"/>
      <color rgb="FF1A56DB"/>
      <name val="ＭＳ ゴシック"/>
      <family val="3"/>
      <charset val="128"/>
    </font>
    <font>
      <b/>
      <sz val="10"/>
      <color rgb="FF1F2937"/>
      <name val="ＭＳ ゴシック"/>
      <family val="3"/>
      <charset val="128"/>
    </font>
    <font>
      <sz val="9"/>
      <color rgb="FF6B7280"/>
      <name val="Calibri"/>
      <family val="3"/>
      <charset val="128"/>
    </font>
    <font>
      <b/>
      <sz val="10"/>
      <color rgb="FF1F2937"/>
      <name val="Calibri"/>
      <family val="2"/>
    </font>
    <font>
      <sz val="10"/>
      <color rgb="FF1F2937"/>
      <name val="ＭＳ ゴシック"/>
      <family val="3"/>
      <charset val="128"/>
    </font>
    <font>
      <sz val="10"/>
      <color rgb="FF1F2937"/>
      <name val="Calibri"/>
      <family val="3"/>
      <charset val="128"/>
    </font>
  </fonts>
  <fills count="12">
    <fill>
      <patternFill patternType="none"/>
    </fill>
    <fill>
      <patternFill patternType="gray125"/>
    </fill>
    <fill>
      <patternFill patternType="solid">
        <fgColor rgb="FF1A56DB"/>
      </patternFill>
    </fill>
    <fill>
      <patternFill patternType="solid">
        <fgColor rgb="FFFFFFFF"/>
      </patternFill>
    </fill>
    <fill>
      <patternFill patternType="solid">
        <fgColor rgb="FF0E9F6E"/>
      </patternFill>
    </fill>
    <fill>
      <patternFill patternType="solid">
        <fgColor rgb="FFD97706"/>
      </patternFill>
    </fill>
    <fill>
      <patternFill patternType="solid">
        <fgColor rgb="FFEFF6FF"/>
      </patternFill>
    </fill>
    <fill>
      <patternFill patternType="solid">
        <fgColor rgb="FFF9FAFB"/>
      </patternFill>
    </fill>
    <fill>
      <patternFill patternType="solid">
        <fgColor rgb="FF7C3AED"/>
      </patternFill>
    </fill>
    <fill>
      <patternFill patternType="solid">
        <fgColor rgb="FF0891B2"/>
      </patternFill>
    </fill>
    <fill>
      <patternFill patternType="solid">
        <fgColor rgb="FF6B7280"/>
      </patternFill>
    </fill>
    <fill>
      <patternFill patternType="solid">
        <fgColor rgb="FFFFF7ED"/>
      </patternFill>
    </fill>
  </fills>
  <borders count="5">
    <border>
      <left/>
      <right/>
      <top/>
      <bottom/>
      <diagonal/>
    </border>
    <border>
      <left style="thin">
        <color rgb="FFE5E7EB"/>
      </left>
      <right style="thin">
        <color rgb="FFE5E7EB"/>
      </right>
      <top style="thin">
        <color rgb="FFE5E7EB"/>
      </top>
      <bottom style="thin">
        <color rgb="FFE5E7EB"/>
      </bottom>
      <diagonal/>
    </border>
    <border>
      <left/>
      <right/>
      <top style="thin">
        <color rgb="FFE5E7EB"/>
      </top>
      <bottom style="thin">
        <color rgb="FFE5E7EB"/>
      </bottom>
      <diagonal/>
    </border>
    <border>
      <left/>
      <right style="thin">
        <color rgb="FFE5E7EB"/>
      </right>
      <top style="thin">
        <color rgb="FFE5E7EB"/>
      </top>
      <bottom style="thin">
        <color rgb="FFE5E7EB"/>
      </bottom>
      <diagonal/>
    </border>
    <border>
      <left style="thin">
        <color rgb="FFD97706"/>
      </left>
      <right style="thin">
        <color rgb="FFD97706"/>
      </right>
      <top style="thin">
        <color rgb="FFD97706"/>
      </top>
      <bottom style="thin">
        <color rgb="FFD97706"/>
      </bottom>
      <diagonal/>
    </border>
  </borders>
  <cellStyleXfs count="1">
    <xf numFmtId="0" fontId="0" fillId="0" borderId="0"/>
  </cellStyleXfs>
  <cellXfs count="104">
    <xf numFmtId="0" fontId="0" fillId="0" borderId="0" xfId="0"/>
    <xf numFmtId="0" fontId="0" fillId="2" borderId="0" xfId="0" applyFill="1"/>
    <xf numFmtId="0" fontId="4" fillId="2" borderId="0" xfId="0" applyFont="1" applyFill="1" applyAlignment="1">
      <alignment horizontal="center" wrapText="1"/>
    </xf>
    <xf numFmtId="0" fontId="4" fillId="4" borderId="0" xfId="0" applyFont="1" applyFill="1" applyAlignment="1">
      <alignment horizontal="center" wrapText="1"/>
    </xf>
    <xf numFmtId="0" fontId="4" fillId="5" borderId="0" xfId="0" applyFont="1" applyFill="1" applyAlignment="1">
      <alignment horizontal="center" wrapText="1"/>
    </xf>
    <xf numFmtId="0" fontId="5" fillId="2" borderId="0" xfId="0" applyFont="1" applyFill="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6" fillId="2" borderId="0" xfId="0" applyFont="1" applyFill="1" applyAlignment="1">
      <alignment horizontal="center" vertical="top" wrapText="1"/>
    </xf>
    <xf numFmtId="0" fontId="6" fillId="4" borderId="0" xfId="0" applyFont="1" applyFill="1" applyAlignment="1">
      <alignment horizontal="center" vertical="top" wrapText="1"/>
    </xf>
    <xf numFmtId="0" fontId="6" fillId="5" borderId="0" xfId="0" applyFont="1" applyFill="1" applyAlignment="1">
      <alignment horizontal="center" vertical="top" wrapText="1"/>
    </xf>
    <xf numFmtId="0" fontId="8" fillId="6" borderId="1" xfId="0" applyFont="1" applyFill="1" applyBorder="1" applyAlignment="1">
      <alignment horizontal="left" vertical="center" wrapText="1" indent="1"/>
    </xf>
    <xf numFmtId="0" fontId="9" fillId="7" borderId="1" xfId="0" applyFont="1" applyFill="1" applyBorder="1" applyAlignment="1">
      <alignment horizontal="left" vertical="center" wrapText="1" indent="1"/>
    </xf>
    <xf numFmtId="0" fontId="9" fillId="3" borderId="1" xfId="0" applyFont="1" applyFill="1" applyBorder="1" applyAlignment="1">
      <alignment horizontal="left" vertical="center" wrapText="1" indent="1"/>
    </xf>
    <xf numFmtId="0" fontId="10" fillId="2" borderId="1" xfId="0" applyFont="1" applyFill="1" applyBorder="1" applyAlignment="1">
      <alignment horizontal="center" vertical="center" wrapText="1"/>
    </xf>
    <xf numFmtId="0" fontId="8" fillId="7" borderId="1" xfId="0" applyFont="1" applyFill="1" applyBorder="1" applyAlignment="1">
      <alignment horizontal="left" vertical="center" indent="1"/>
    </xf>
    <xf numFmtId="0" fontId="9" fillId="7" borderId="1" xfId="0" applyFont="1" applyFill="1" applyBorder="1" applyAlignment="1">
      <alignment horizontal="center" vertical="center" wrapText="1"/>
    </xf>
    <xf numFmtId="0" fontId="3" fillId="7" borderId="1" xfId="0" applyFont="1" applyFill="1" applyBorder="1" applyAlignment="1">
      <alignment horizontal="left" vertical="center" wrapText="1" indent="1"/>
    </xf>
    <xf numFmtId="0" fontId="8" fillId="3" borderId="1" xfId="0" applyFont="1" applyFill="1" applyBorder="1" applyAlignment="1">
      <alignment horizontal="left" vertical="center" indent="1"/>
    </xf>
    <xf numFmtId="0" fontId="9" fillId="3" borderId="1" xfId="0" applyFont="1" applyFill="1" applyBorder="1" applyAlignment="1">
      <alignment horizontal="center" vertical="center" wrapText="1"/>
    </xf>
    <xf numFmtId="0" fontId="3" fillId="3" borderId="1" xfId="0" applyFont="1" applyFill="1" applyBorder="1" applyAlignment="1">
      <alignment horizontal="left" vertical="center" wrapText="1" indent="1"/>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7" borderId="1" xfId="0" applyFont="1" applyFill="1" applyBorder="1" applyAlignment="1">
      <alignment horizontal="left" vertical="center" indent="1"/>
    </xf>
    <xf numFmtId="3" fontId="9" fillId="7" borderId="1" xfId="0" applyNumberFormat="1" applyFont="1" applyFill="1" applyBorder="1" applyAlignment="1">
      <alignment horizontal="center" vertical="center"/>
    </xf>
    <xf numFmtId="176" fontId="8" fillId="7" borderId="1" xfId="0" applyNumberFormat="1" applyFont="1" applyFill="1" applyBorder="1" applyAlignment="1">
      <alignment horizontal="center" vertical="center"/>
    </xf>
    <xf numFmtId="0" fontId="13" fillId="7"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indent="1"/>
    </xf>
    <xf numFmtId="3" fontId="9" fillId="3" borderId="1" xfId="0" applyNumberFormat="1" applyFont="1" applyFill="1" applyBorder="1" applyAlignment="1">
      <alignment horizontal="center" vertical="center"/>
    </xf>
    <xf numFmtId="176" fontId="8"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3" borderId="1" xfId="0" applyFont="1" applyFill="1" applyBorder="1" applyAlignment="1">
      <alignment horizontal="center" vertical="center"/>
    </xf>
    <xf numFmtId="0" fontId="16" fillId="3" borderId="1" xfId="0" applyFont="1" applyFill="1" applyBorder="1" applyAlignment="1">
      <alignment horizontal="center" vertical="center"/>
    </xf>
    <xf numFmtId="176" fontId="9" fillId="7" borderId="1" xfId="0" applyNumberFormat="1" applyFont="1" applyFill="1" applyBorder="1" applyAlignment="1">
      <alignment horizontal="center" vertical="center"/>
    </xf>
    <xf numFmtId="176" fontId="9"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8" fillId="7" borderId="1" xfId="0" applyFont="1" applyFill="1" applyBorder="1" applyAlignment="1">
      <alignment horizontal="center" vertical="center"/>
    </xf>
    <xf numFmtId="0" fontId="18" fillId="3" borderId="1" xfId="0" applyFont="1" applyFill="1" applyBorder="1" applyAlignment="1">
      <alignment horizontal="center" vertical="center"/>
    </xf>
    <xf numFmtId="0" fontId="19" fillId="7" borderId="1" xfId="0" applyFont="1" applyFill="1" applyBorder="1" applyAlignment="1">
      <alignment horizontal="center" vertical="center"/>
    </xf>
    <xf numFmtId="0" fontId="20" fillId="3" borderId="1" xfId="0" applyFont="1" applyFill="1" applyBorder="1" applyAlignment="1">
      <alignment horizontal="center" vertical="center"/>
    </xf>
    <xf numFmtId="0" fontId="16" fillId="7"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7" borderId="1" xfId="0" applyFont="1" applyFill="1" applyBorder="1" applyAlignment="1">
      <alignment horizontal="center" vertical="center"/>
    </xf>
    <xf numFmtId="0" fontId="21" fillId="3" borderId="1" xfId="0" applyFont="1" applyFill="1" applyBorder="1" applyAlignment="1">
      <alignment horizontal="center" vertical="center"/>
    </xf>
    <xf numFmtId="0" fontId="22" fillId="7" borderId="1" xfId="0" applyFont="1" applyFill="1" applyBorder="1" applyAlignment="1">
      <alignment horizontal="center" vertical="center"/>
    </xf>
    <xf numFmtId="0" fontId="17"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0" fillId="4" borderId="0" xfId="0" applyFill="1"/>
    <xf numFmtId="0" fontId="10" fillId="4" borderId="1" xfId="0" applyFont="1" applyFill="1" applyBorder="1" applyAlignment="1">
      <alignment horizontal="center" vertical="center" wrapText="1"/>
    </xf>
    <xf numFmtId="0" fontId="8" fillId="6" borderId="1" xfId="0" applyFont="1" applyFill="1" applyBorder="1" applyAlignment="1">
      <alignment horizontal="left" vertical="center" indent="1"/>
    </xf>
    <xf numFmtId="3" fontId="8" fillId="6" borderId="1" xfId="0" applyNumberFormat="1" applyFont="1" applyFill="1" applyBorder="1" applyAlignment="1">
      <alignment horizontal="center" vertical="center"/>
    </xf>
    <xf numFmtId="176" fontId="8" fillId="6" borderId="1" xfId="0" applyNumberFormat="1" applyFont="1" applyFill="1" applyBorder="1" applyAlignment="1">
      <alignment horizontal="center" vertical="center"/>
    </xf>
    <xf numFmtId="0" fontId="0" fillId="5" borderId="0" xfId="0" applyFill="1"/>
    <xf numFmtId="0" fontId="10" fillId="5" borderId="1" xfId="0" applyFont="1" applyFill="1" applyBorder="1" applyAlignment="1">
      <alignment horizontal="center" vertical="center" wrapText="1"/>
    </xf>
    <xf numFmtId="177" fontId="24" fillId="7" borderId="1" xfId="0" applyNumberFormat="1" applyFont="1" applyFill="1" applyBorder="1" applyAlignment="1">
      <alignment horizontal="center" vertical="center"/>
    </xf>
    <xf numFmtId="177" fontId="24" fillId="3" borderId="1" xfId="0" applyNumberFormat="1" applyFont="1" applyFill="1" applyBorder="1" applyAlignment="1">
      <alignment horizontal="center" vertical="center"/>
    </xf>
    <xf numFmtId="177" fontId="25" fillId="3" borderId="1" xfId="0" applyNumberFormat="1" applyFont="1" applyFill="1" applyBorder="1" applyAlignment="1">
      <alignment horizontal="center" vertical="center"/>
    </xf>
    <xf numFmtId="177" fontId="25" fillId="7" borderId="1" xfId="0" applyNumberFormat="1" applyFont="1" applyFill="1" applyBorder="1" applyAlignment="1">
      <alignment horizontal="center" vertical="center"/>
    </xf>
    <xf numFmtId="177" fontId="8" fillId="7" borderId="1" xfId="0" applyNumberFormat="1" applyFont="1" applyFill="1" applyBorder="1" applyAlignment="1">
      <alignment horizontal="center" vertical="center"/>
    </xf>
    <xf numFmtId="177" fontId="8" fillId="3" borderId="1" xfId="0" applyNumberFormat="1" applyFont="1" applyFill="1" applyBorder="1" applyAlignment="1">
      <alignment horizontal="center" vertical="center"/>
    </xf>
    <xf numFmtId="0" fontId="0" fillId="8" borderId="0" xfId="0" applyFill="1"/>
    <xf numFmtId="0" fontId="10" fillId="8" borderId="1" xfId="0" applyFont="1" applyFill="1" applyBorder="1" applyAlignment="1">
      <alignment horizontal="center" vertical="center" wrapText="1"/>
    </xf>
    <xf numFmtId="0" fontId="3" fillId="7"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8" fillId="6" borderId="1" xfId="0" applyFont="1" applyFill="1" applyBorder="1" applyAlignment="1">
      <alignment horizontal="center" vertical="center"/>
    </xf>
    <xf numFmtId="0" fontId="0" fillId="9" borderId="0" xfId="0" applyFill="1"/>
    <xf numFmtId="0" fontId="10" fillId="9" borderId="1" xfId="0" applyFont="1" applyFill="1" applyBorder="1" applyAlignment="1">
      <alignment horizontal="center" vertical="center" wrapText="1"/>
    </xf>
    <xf numFmtId="0" fontId="0" fillId="10" borderId="0" xfId="0" applyFill="1"/>
    <xf numFmtId="0" fontId="10" fillId="10" borderId="1" xfId="0" applyFont="1" applyFill="1" applyBorder="1" applyAlignment="1">
      <alignment horizontal="left" vertical="center" wrapText="1" indent="1"/>
    </xf>
    <xf numFmtId="0" fontId="8"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indent="1"/>
    </xf>
    <xf numFmtId="0" fontId="2" fillId="3" borderId="0" xfId="0" applyFont="1" applyFill="1" applyAlignment="1">
      <alignment horizontal="left" vertical="center" indent="1"/>
    </xf>
    <xf numFmtId="0" fontId="0" fillId="0" borderId="0" xfId="0"/>
    <xf numFmtId="0" fontId="1" fillId="3" borderId="0" xfId="0" applyFont="1" applyFill="1" applyAlignment="1">
      <alignment horizontal="left" vertical="center" indent="1"/>
    </xf>
    <xf numFmtId="0" fontId="9" fillId="7"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9" fillId="3" borderId="1" xfId="0" applyFont="1" applyFill="1" applyBorder="1" applyAlignment="1">
      <alignment horizontal="left" vertical="center" wrapText="1" indent="1"/>
    </xf>
    <xf numFmtId="0" fontId="7" fillId="6" borderId="0" xfId="0" applyFont="1" applyFill="1" applyAlignment="1">
      <alignment horizontal="left" vertical="center" indent="1"/>
    </xf>
    <xf numFmtId="0" fontId="3" fillId="3" borderId="0" xfId="0" applyFont="1" applyFill="1" applyAlignment="1">
      <alignment horizontal="left" vertical="center" indent="1"/>
    </xf>
    <xf numFmtId="0" fontId="10" fillId="2" borderId="1" xfId="0" applyFont="1" applyFill="1" applyBorder="1" applyAlignment="1">
      <alignment horizontal="center" vertical="center" wrapText="1"/>
    </xf>
    <xf numFmtId="0" fontId="0" fillId="0" borderId="2" xfId="0" applyBorder="1"/>
    <xf numFmtId="0" fontId="0" fillId="0" borderId="3" xfId="0" applyBorder="1"/>
    <xf numFmtId="0" fontId="12" fillId="3" borderId="0" xfId="0" applyFont="1" applyFill="1" applyAlignment="1">
      <alignment horizontal="left" vertical="center" indent="1"/>
    </xf>
    <xf numFmtId="0" fontId="3" fillId="0" borderId="0" xfId="0" applyFont="1" applyAlignment="1">
      <alignment horizontal="left" vertical="center" indent="1"/>
    </xf>
    <xf numFmtId="0" fontId="2" fillId="3" borderId="0" xfId="0" applyFont="1" applyFill="1" applyAlignment="1">
      <alignment horizontal="left" vertical="center" wrapText="1" indent="1"/>
    </xf>
    <xf numFmtId="0" fontId="12" fillId="3" borderId="0" xfId="0" applyFont="1" applyFill="1" applyAlignment="1">
      <alignment horizontal="left" vertical="center" wrapText="1" indent="1"/>
    </xf>
    <xf numFmtId="0" fontId="3" fillId="0" borderId="0" xfId="0" applyFont="1" applyAlignment="1">
      <alignment horizontal="left" vertical="center" wrapText="1" indent="1"/>
    </xf>
    <xf numFmtId="0" fontId="23" fillId="6" borderId="0" xfId="0" applyFont="1" applyFill="1" applyAlignment="1">
      <alignment horizontal="left" vertical="center" indent="1"/>
    </xf>
    <xf numFmtId="0" fontId="29" fillId="6" borderId="0" xfId="0" applyFont="1" applyFill="1" applyAlignment="1">
      <alignment horizontal="left" vertical="center" indent="1"/>
    </xf>
    <xf numFmtId="0" fontId="31" fillId="3" borderId="1" xfId="0" applyFont="1" applyFill="1" applyBorder="1" applyAlignment="1">
      <alignment horizontal="left" vertical="center" wrapText="1" indent="1"/>
    </xf>
    <xf numFmtId="0" fontId="31" fillId="7" borderId="1" xfId="0" applyFont="1" applyFill="1" applyBorder="1" applyAlignment="1">
      <alignment horizontal="left" vertical="center" wrapText="1" indent="1"/>
    </xf>
    <xf numFmtId="0" fontId="32" fillId="0" borderId="0" xfId="0" applyFont="1" applyAlignment="1">
      <alignment horizontal="left" vertical="center" wrapText="1" indent="1"/>
    </xf>
    <xf numFmtId="0" fontId="33" fillId="7" borderId="1" xfId="0" applyFont="1" applyFill="1" applyBorder="1" applyAlignment="1">
      <alignment horizontal="left" vertical="center" indent="1"/>
    </xf>
    <xf numFmtId="0" fontId="33" fillId="3" borderId="1" xfId="0" applyFont="1" applyFill="1" applyBorder="1" applyAlignment="1">
      <alignment horizontal="left" vertical="center" indent="1"/>
    </xf>
    <xf numFmtId="0" fontId="34" fillId="3" borderId="0" xfId="0" applyFont="1" applyFill="1" applyAlignment="1">
      <alignment horizontal="left" vertical="center" wrapText="1" indent="1"/>
    </xf>
    <xf numFmtId="0" fontId="35" fillId="11" borderId="4" xfId="0" applyFont="1" applyFill="1" applyBorder="1" applyAlignment="1">
      <alignment horizontal="left" vertical="center" wrapText="1"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rPr lang="ja-JP" altLang="en-US"/>
              <a:t>視聴者の登録チャンネル数の分布</a:t>
            </a:r>
          </a:p>
        </c:rich>
      </c:tx>
      <c:overlay val="1"/>
    </c:title>
    <c:autoTitleDeleted val="0"/>
    <c:plotArea>
      <c:layout/>
      <c:barChart>
        <c:barDir val="col"/>
        <c:grouping val="clustered"/>
        <c:varyColors val="1"/>
        <c:ser>
          <c:idx val="0"/>
          <c:order val="0"/>
          <c:tx>
            <c:strRef>
              <c:f>'④ 登録数の分布'!$C$5</c:f>
              <c:strCache>
                <c:ptCount val="1"/>
                <c:pt idx="0">
                  <c:v>視聴者数（人）</c:v>
                </c:pt>
              </c:strCache>
            </c:strRef>
          </c:tx>
          <c:spPr>
            <a:solidFill>
              <a:srgbClr val="7C3AED"/>
            </a:solidFill>
            <a:ln>
              <a:prstDash val="solid"/>
            </a:ln>
          </c:spPr>
          <c:invertIfNegative val="1"/>
          <c:cat>
            <c:strRef>
              <c:f>'④ 登録数の分布'!$B$6:$B$16</c:f>
              <c:strCache>
                <c:ptCount val="11"/>
                <c:pt idx="0">
                  <c:v>0-99 チャンネル</c:v>
                </c:pt>
                <c:pt idx="1">
                  <c:v>100-199 チャンネル</c:v>
                </c:pt>
                <c:pt idx="2">
                  <c:v>200-299 チャンネル</c:v>
                </c:pt>
                <c:pt idx="3">
                  <c:v>300-399 チャンネル</c:v>
                </c:pt>
                <c:pt idx="4">
                  <c:v>400-499 チャンネル</c:v>
                </c:pt>
                <c:pt idx="5">
                  <c:v>500-599 チャンネル</c:v>
                </c:pt>
                <c:pt idx="6">
                  <c:v>600-699 チャンネル</c:v>
                </c:pt>
                <c:pt idx="7">
                  <c:v>700-799 チャンネル</c:v>
                </c:pt>
                <c:pt idx="8">
                  <c:v>800-899 チャンネル</c:v>
                </c:pt>
                <c:pt idx="9">
                  <c:v>900-999 チャンネル</c:v>
                </c:pt>
                <c:pt idx="10">
                  <c:v>1000-1099 チャンネル</c:v>
                </c:pt>
              </c:strCache>
            </c:strRef>
          </c:cat>
          <c:val>
            <c:numRef>
              <c:f>'④ 登録数の分布'!$C$6:$C$16</c:f>
              <c:numCache>
                <c:formatCode>#,##0</c:formatCode>
                <c:ptCount val="11"/>
                <c:pt idx="0">
                  <c:v>280</c:v>
                </c:pt>
                <c:pt idx="1">
                  <c:v>167</c:v>
                </c:pt>
                <c:pt idx="2">
                  <c:v>87</c:v>
                </c:pt>
                <c:pt idx="3">
                  <c:v>62</c:v>
                </c:pt>
                <c:pt idx="4">
                  <c:v>43</c:v>
                </c:pt>
                <c:pt idx="5">
                  <c:v>27</c:v>
                </c:pt>
                <c:pt idx="6">
                  <c:v>27</c:v>
                </c:pt>
                <c:pt idx="7">
                  <c:v>18</c:v>
                </c:pt>
                <c:pt idx="8">
                  <c:v>22</c:v>
                </c:pt>
                <c:pt idx="9">
                  <c:v>75</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F9E-4176-B5C2-B25365FE0C4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ja-JP" altLang="en-US"/>
                  <a:t>登録チャンネル数の範囲</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ja-JP" altLang="en-US"/>
                  <a:t>視聴者数（人）</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20</xdr:row>
      <xdr:rowOff>0</xdr:rowOff>
    </xdr:from>
    <xdr:ext cx="7200000" cy="43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56DB"/>
  </sheetPr>
  <dimension ref="B1:G26"/>
  <sheetViews>
    <sheetView showGridLines="0" tabSelected="1" workbookViewId="0">
      <selection activeCell="D26" sqref="D26"/>
    </sheetView>
  </sheetViews>
  <sheetFormatPr defaultRowHeight="12.75" x14ac:dyDescent="0.25"/>
  <cols>
    <col min="1" max="1" width="2" customWidth="1"/>
    <col min="2" max="7" width="19" customWidth="1"/>
  </cols>
  <sheetData>
    <row r="1" spans="2:7" ht="5" customHeight="1" x14ac:dyDescent="0.25">
      <c r="B1" s="1"/>
      <c r="C1" s="1"/>
      <c r="D1" s="1"/>
      <c r="E1" s="1"/>
      <c r="F1" s="1"/>
      <c r="G1" s="1"/>
    </row>
    <row r="2" spans="2:7" ht="40.049999999999997" customHeight="1" x14ac:dyDescent="0.25">
      <c r="B2" s="80" t="s">
        <v>0</v>
      </c>
      <c r="C2" s="79"/>
      <c r="D2" s="79"/>
      <c r="E2" s="79"/>
      <c r="F2" s="79"/>
      <c r="G2" s="79"/>
    </row>
    <row r="3" spans="2:7" ht="22.05" customHeight="1" x14ac:dyDescent="0.25">
      <c r="B3" s="78" t="s">
        <v>1</v>
      </c>
      <c r="C3" s="79"/>
      <c r="D3" s="79"/>
      <c r="E3" s="79"/>
      <c r="F3" s="79"/>
      <c r="G3" s="79"/>
    </row>
    <row r="4" spans="2:7" ht="18" customHeight="1" x14ac:dyDescent="0.25">
      <c r="B4" s="86" t="s">
        <v>2</v>
      </c>
      <c r="C4" s="79"/>
      <c r="D4" s="79"/>
      <c r="E4" s="79"/>
      <c r="F4" s="79"/>
      <c r="G4" s="79"/>
    </row>
    <row r="5" spans="2:7" ht="8" customHeight="1" x14ac:dyDescent="0.25"/>
    <row r="6" spans="2:7" ht="30" customHeight="1" x14ac:dyDescent="0.35">
      <c r="B6" s="2" t="s">
        <v>3</v>
      </c>
      <c r="C6" s="2" t="s">
        <v>4</v>
      </c>
      <c r="D6" s="3" t="s">
        <v>5</v>
      </c>
      <c r="E6" s="3" t="s">
        <v>6</v>
      </c>
      <c r="F6" s="4" t="s">
        <v>7</v>
      </c>
      <c r="G6" s="4" t="s">
        <v>8</v>
      </c>
    </row>
    <row r="7" spans="2:7" ht="28.05" customHeight="1" x14ac:dyDescent="0.25">
      <c r="B7" s="5" t="s">
        <v>9</v>
      </c>
      <c r="C7" s="5" t="s">
        <v>10</v>
      </c>
      <c r="D7" s="6" t="s">
        <v>11</v>
      </c>
      <c r="E7" s="6" t="s">
        <v>12</v>
      </c>
      <c r="F7" s="7" t="s">
        <v>13</v>
      </c>
      <c r="G7" s="7" t="s">
        <v>14</v>
      </c>
    </row>
    <row r="8" spans="2:7" ht="22.05" customHeight="1" x14ac:dyDescent="0.25">
      <c r="B8" s="8" t="s">
        <v>15</v>
      </c>
      <c r="C8" s="8" t="s">
        <v>16</v>
      </c>
      <c r="D8" s="9" t="s">
        <v>17</v>
      </c>
      <c r="E8" s="9" t="s">
        <v>18</v>
      </c>
      <c r="F8" s="10" t="s">
        <v>19</v>
      </c>
      <c r="G8" s="10" t="s">
        <v>20</v>
      </c>
    </row>
    <row r="9" spans="2:7" ht="8" customHeight="1" x14ac:dyDescent="0.25"/>
    <row r="10" spans="2:7" ht="10.050000000000001" customHeight="1" x14ac:dyDescent="0.25"/>
    <row r="11" spans="2:7" ht="26" customHeight="1" x14ac:dyDescent="0.25">
      <c r="B11" s="85" t="s">
        <v>21</v>
      </c>
      <c r="C11" s="79"/>
      <c r="D11" s="79"/>
      <c r="E11" s="79"/>
      <c r="F11" s="79"/>
      <c r="G11" s="79"/>
    </row>
    <row r="12" spans="2:7" ht="45" customHeight="1" x14ac:dyDescent="0.25">
      <c r="B12" s="11" t="s">
        <v>22</v>
      </c>
      <c r="C12" s="81" t="s">
        <v>23</v>
      </c>
      <c r="D12" s="79"/>
      <c r="E12" s="79"/>
      <c r="F12" s="79"/>
      <c r="G12" s="79"/>
    </row>
    <row r="13" spans="2:7" ht="45" customHeight="1" x14ac:dyDescent="0.25">
      <c r="B13" s="11" t="s">
        <v>24</v>
      </c>
      <c r="C13" s="84" t="s">
        <v>25</v>
      </c>
      <c r="D13" s="79"/>
      <c r="E13" s="79"/>
      <c r="F13" s="79"/>
      <c r="G13" s="79"/>
    </row>
    <row r="14" spans="2:7" ht="45" customHeight="1" x14ac:dyDescent="0.25">
      <c r="B14" s="11" t="s">
        <v>26</v>
      </c>
      <c r="C14" s="81" t="s">
        <v>27</v>
      </c>
      <c r="D14" s="79"/>
      <c r="E14" s="79"/>
      <c r="F14" s="79"/>
      <c r="G14" s="79"/>
    </row>
    <row r="15" spans="2:7" ht="45" customHeight="1" x14ac:dyDescent="0.25">
      <c r="B15" s="11" t="s">
        <v>28</v>
      </c>
      <c r="C15" s="84" t="s">
        <v>29</v>
      </c>
      <c r="D15" s="79"/>
      <c r="E15" s="79"/>
      <c r="F15" s="79"/>
      <c r="G15" s="79"/>
    </row>
    <row r="16" spans="2:7" ht="10.050000000000001" customHeight="1" x14ac:dyDescent="0.25"/>
    <row r="17" spans="2:7" ht="26" customHeight="1" x14ac:dyDescent="0.25">
      <c r="B17" s="85" t="s">
        <v>30</v>
      </c>
      <c r="C17" s="79"/>
      <c r="D17" s="79"/>
      <c r="E17" s="79"/>
      <c r="F17" s="79"/>
      <c r="G17" s="79"/>
    </row>
    <row r="18" spans="2:7" ht="26" customHeight="1" x14ac:dyDescent="0.25">
      <c r="B18" s="14" t="s">
        <v>31</v>
      </c>
      <c r="C18" s="14" t="s">
        <v>32</v>
      </c>
      <c r="D18" s="14" t="s">
        <v>33</v>
      </c>
      <c r="E18" s="87" t="s">
        <v>34</v>
      </c>
      <c r="F18" s="88"/>
      <c r="G18" s="89"/>
    </row>
    <row r="19" spans="2:7" ht="30" customHeight="1" x14ac:dyDescent="0.25">
      <c r="B19" s="15" t="s">
        <v>35</v>
      </c>
      <c r="C19" s="16" t="s">
        <v>36</v>
      </c>
      <c r="D19" s="16" t="s">
        <v>37</v>
      </c>
      <c r="E19" s="82" t="s">
        <v>38</v>
      </c>
      <c r="F19" s="79"/>
      <c r="G19" s="79"/>
    </row>
    <row r="20" spans="2:7" ht="30" customHeight="1" x14ac:dyDescent="0.25">
      <c r="B20" s="18" t="s">
        <v>39</v>
      </c>
      <c r="C20" s="19" t="s">
        <v>40</v>
      </c>
      <c r="D20" s="19" t="s">
        <v>41</v>
      </c>
      <c r="E20" s="83" t="s">
        <v>42</v>
      </c>
      <c r="F20" s="79"/>
      <c r="G20" s="79"/>
    </row>
    <row r="21" spans="2:7" ht="30" customHeight="1" x14ac:dyDescent="0.25">
      <c r="B21" s="15" t="s">
        <v>43</v>
      </c>
      <c r="C21" s="16" t="s">
        <v>44</v>
      </c>
      <c r="D21" s="16" t="s">
        <v>45</v>
      </c>
      <c r="E21" s="82" t="s">
        <v>46</v>
      </c>
      <c r="F21" s="79"/>
      <c r="G21" s="79"/>
    </row>
    <row r="22" spans="2:7" ht="30" customHeight="1" x14ac:dyDescent="0.25">
      <c r="B22" s="18" t="s">
        <v>47</v>
      </c>
      <c r="C22" s="19" t="s">
        <v>48</v>
      </c>
      <c r="D22" s="19" t="s">
        <v>49</v>
      </c>
      <c r="E22" s="83" t="s">
        <v>50</v>
      </c>
      <c r="F22" s="79"/>
      <c r="G22" s="79"/>
    </row>
    <row r="23" spans="2:7" ht="30" customHeight="1" x14ac:dyDescent="0.25">
      <c r="B23" s="15" t="s">
        <v>51</v>
      </c>
      <c r="C23" s="16" t="s">
        <v>52</v>
      </c>
      <c r="D23" s="16" t="s">
        <v>53</v>
      </c>
      <c r="E23" s="82" t="s">
        <v>54</v>
      </c>
      <c r="F23" s="79"/>
      <c r="G23" s="79"/>
    </row>
    <row r="24" spans="2:7" ht="10.050000000000001" customHeight="1" x14ac:dyDescent="0.25"/>
    <row r="25" spans="2:7" ht="26" customHeight="1" x14ac:dyDescent="0.25">
      <c r="B25" s="85" t="s">
        <v>55</v>
      </c>
      <c r="C25" s="79"/>
      <c r="D25" s="79"/>
      <c r="E25" s="79"/>
      <c r="F25" s="79"/>
      <c r="G25" s="79"/>
    </row>
    <row r="26" spans="2:7" ht="26" customHeight="1" x14ac:dyDescent="0.25">
      <c r="B26" s="21" t="s">
        <v>56</v>
      </c>
      <c r="C26" s="22" t="s">
        <v>57</v>
      </c>
      <c r="D26" s="23" t="s">
        <v>58</v>
      </c>
      <c r="E26" s="24" t="s">
        <v>59</v>
      </c>
      <c r="F26" s="25" t="s">
        <v>60</v>
      </c>
      <c r="G26" s="26" t="s">
        <v>61</v>
      </c>
    </row>
  </sheetData>
  <mergeCells count="16">
    <mergeCell ref="E23:G23"/>
    <mergeCell ref="C15:G15"/>
    <mergeCell ref="B17:G17"/>
    <mergeCell ref="B25:G25"/>
    <mergeCell ref="B4:G4"/>
    <mergeCell ref="E18:G18"/>
    <mergeCell ref="C14:G14"/>
    <mergeCell ref="E21:G21"/>
    <mergeCell ref="C13:G13"/>
    <mergeCell ref="E20:G20"/>
    <mergeCell ref="B11:G11"/>
    <mergeCell ref="B3:G3"/>
    <mergeCell ref="B2:G2"/>
    <mergeCell ref="C12:G12"/>
    <mergeCell ref="E19:G19"/>
    <mergeCell ref="E22:G22"/>
  </mergeCells>
  <phoneticPr fontId="27"/>
  <hyperlinks>
    <hyperlink ref="B26" location="'① 人気チャンネルTop50'!A1" display="① 人気チャンネルTop50" xr:uid="{00000000-0004-0000-0000-000000000000}"/>
    <hyperlink ref="C26" location="'② 視聴者の興味ジャンル'!A1" display="② 視聴者の興味ジャンル" xr:uid="{00000000-0004-0000-0000-000001000000}"/>
    <hyperlink ref="D26" location="'③ 隠れた相性チャンネル'!A1" display="③ 隠れた相性チャンネル" xr:uid="{00000000-0004-0000-0000-000002000000}"/>
    <hyperlink ref="E26" location="'④ 登録数の分布'!A1" display="④ 登録数の分布" xr:uid="{00000000-0004-0000-0000-000003000000}"/>
    <hyperlink ref="F26" location="'⑤ 視聴者グループ'!A1" display="⑤ 視聴者グループ" xr:uid="{00000000-0004-0000-0000-000004000000}"/>
    <hyperlink ref="G26" location="'📋 用語・手法の説明'!A1" display="📋 用語・手法の説明"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56DB"/>
  </sheetPr>
  <dimension ref="B1:F57"/>
  <sheetViews>
    <sheetView showGridLines="0" workbookViewId="0">
      <pane xSplit="1" ySplit="5" topLeftCell="B6" activePane="bottomRight" state="frozen"/>
      <selection pane="topRight"/>
      <selection pane="bottomLeft"/>
      <selection pane="bottomRight" activeCell="B57" sqref="B57:F57"/>
    </sheetView>
  </sheetViews>
  <sheetFormatPr defaultRowHeight="12.75" x14ac:dyDescent="0.25"/>
  <cols>
    <col min="1" max="1" width="2" customWidth="1"/>
    <col min="2" max="2" width="6" customWidth="1"/>
    <col min="3" max="3" width="36" customWidth="1"/>
    <col min="4" max="4" width="14" customWidth="1"/>
    <col min="5" max="5" width="13" customWidth="1"/>
    <col min="6" max="6" width="20" customWidth="1"/>
  </cols>
  <sheetData>
    <row r="1" spans="2:6" ht="5" customHeight="1" x14ac:dyDescent="0.25">
      <c r="B1" s="1"/>
      <c r="C1" s="1"/>
      <c r="D1" s="1"/>
      <c r="E1" s="1"/>
      <c r="F1" s="1"/>
    </row>
    <row r="2" spans="2:6" ht="38" customHeight="1" x14ac:dyDescent="0.25">
      <c r="B2" s="90" t="s">
        <v>62</v>
      </c>
      <c r="C2" s="79"/>
      <c r="D2" s="79"/>
      <c r="E2" s="79"/>
      <c r="F2" s="79"/>
    </row>
    <row r="3" spans="2:6" ht="32" customHeight="1" x14ac:dyDescent="0.25">
      <c r="B3" s="92" t="s">
        <v>63</v>
      </c>
      <c r="C3" s="79"/>
      <c r="D3" s="79"/>
      <c r="E3" s="79"/>
      <c r="F3" s="79"/>
    </row>
    <row r="4" spans="2:6" ht="10.050000000000001" customHeight="1" x14ac:dyDescent="0.25"/>
    <row r="5" spans="2:6" ht="28.05" customHeight="1" x14ac:dyDescent="0.25">
      <c r="B5" s="14" t="s">
        <v>64</v>
      </c>
      <c r="C5" s="14" t="s">
        <v>65</v>
      </c>
      <c r="D5" s="14" t="s">
        <v>66</v>
      </c>
      <c r="E5" s="14" t="s">
        <v>67</v>
      </c>
      <c r="F5" s="14" t="s">
        <v>68</v>
      </c>
    </row>
    <row r="6" spans="2:6" ht="22.05" customHeight="1" x14ac:dyDescent="0.25">
      <c r="B6" s="27" t="s">
        <v>69</v>
      </c>
      <c r="C6" s="28" t="s">
        <v>70</v>
      </c>
      <c r="D6" s="29">
        <v>265</v>
      </c>
      <c r="E6" s="30">
        <v>0.32797029702970298</v>
      </c>
      <c r="F6" s="31" t="s">
        <v>71</v>
      </c>
    </row>
    <row r="7" spans="2:6" ht="22.05" customHeight="1" x14ac:dyDescent="0.25">
      <c r="B7" s="32" t="s">
        <v>72</v>
      </c>
      <c r="C7" s="33" t="s">
        <v>73</v>
      </c>
      <c r="D7" s="34">
        <v>258</v>
      </c>
      <c r="E7" s="35">
        <v>0.31930693069306931</v>
      </c>
      <c r="F7" s="36" t="s">
        <v>74</v>
      </c>
    </row>
    <row r="8" spans="2:6" ht="22.05" customHeight="1" x14ac:dyDescent="0.25">
      <c r="B8" s="27" t="s">
        <v>75</v>
      </c>
      <c r="C8" s="28" t="s">
        <v>76</v>
      </c>
      <c r="D8" s="29">
        <v>246</v>
      </c>
      <c r="E8" s="30">
        <v>0.30445544554455439</v>
      </c>
      <c r="F8" s="37" t="s">
        <v>77</v>
      </c>
    </row>
    <row r="9" spans="2:6" ht="22.05" customHeight="1" x14ac:dyDescent="0.25">
      <c r="B9" s="32" t="s">
        <v>78</v>
      </c>
      <c r="C9" s="33" t="s">
        <v>79</v>
      </c>
      <c r="D9" s="34">
        <v>246</v>
      </c>
      <c r="E9" s="35">
        <v>0.30445544554455439</v>
      </c>
      <c r="F9" s="38" t="s">
        <v>77</v>
      </c>
    </row>
    <row r="10" spans="2:6" ht="22.05" customHeight="1" x14ac:dyDescent="0.25">
      <c r="B10" s="27" t="s">
        <v>80</v>
      </c>
      <c r="C10" s="28" t="s">
        <v>81</v>
      </c>
      <c r="D10" s="29">
        <v>238</v>
      </c>
      <c r="E10" s="30">
        <v>0.29455445544554448</v>
      </c>
      <c r="F10" s="31" t="s">
        <v>71</v>
      </c>
    </row>
    <row r="11" spans="2:6" ht="22.05" customHeight="1" x14ac:dyDescent="0.25">
      <c r="B11" s="32" t="s">
        <v>82</v>
      </c>
      <c r="C11" s="33" t="s">
        <v>83</v>
      </c>
      <c r="D11" s="34">
        <v>204</v>
      </c>
      <c r="E11" s="35">
        <v>0.25247524752475248</v>
      </c>
      <c r="F11" s="39" t="s">
        <v>84</v>
      </c>
    </row>
    <row r="12" spans="2:6" ht="22.05" customHeight="1" x14ac:dyDescent="0.25">
      <c r="B12" s="27" t="s">
        <v>85</v>
      </c>
      <c r="C12" s="28" t="s">
        <v>86</v>
      </c>
      <c r="D12" s="29">
        <v>189</v>
      </c>
      <c r="E12" s="40">
        <v>0.2339108910891089</v>
      </c>
      <c r="F12" s="37" t="s">
        <v>77</v>
      </c>
    </row>
    <row r="13" spans="2:6" ht="22.05" customHeight="1" x14ac:dyDescent="0.25">
      <c r="B13" s="32" t="s">
        <v>87</v>
      </c>
      <c r="C13" s="33" t="s">
        <v>88</v>
      </c>
      <c r="D13" s="34">
        <v>188</v>
      </c>
      <c r="E13" s="41">
        <v>0.23267326732673271</v>
      </c>
      <c r="F13" s="42" t="s">
        <v>89</v>
      </c>
    </row>
    <row r="14" spans="2:6" ht="22.05" customHeight="1" x14ac:dyDescent="0.25">
      <c r="B14" s="27" t="s">
        <v>90</v>
      </c>
      <c r="C14" s="28" t="s">
        <v>91</v>
      </c>
      <c r="D14" s="29">
        <v>176</v>
      </c>
      <c r="E14" s="40">
        <v>0.21782178217821779</v>
      </c>
      <c r="F14" s="43" t="s">
        <v>92</v>
      </c>
    </row>
    <row r="15" spans="2:6" ht="22.05" customHeight="1" x14ac:dyDescent="0.25">
      <c r="B15" s="32" t="s">
        <v>93</v>
      </c>
      <c r="C15" s="33" t="s">
        <v>94</v>
      </c>
      <c r="D15" s="34">
        <v>172</v>
      </c>
      <c r="E15" s="41">
        <v>0.21287128712871289</v>
      </c>
      <c r="F15" s="44" t="s">
        <v>92</v>
      </c>
    </row>
    <row r="16" spans="2:6" ht="22.05" customHeight="1" x14ac:dyDescent="0.25">
      <c r="B16" s="27" t="s">
        <v>95</v>
      </c>
      <c r="C16" s="28" t="s">
        <v>96</v>
      </c>
      <c r="D16" s="29">
        <v>169</v>
      </c>
      <c r="E16" s="40">
        <v>0.20915841584158409</v>
      </c>
      <c r="F16" s="45" t="s">
        <v>97</v>
      </c>
    </row>
    <row r="17" spans="2:6" ht="22.05" customHeight="1" x14ac:dyDescent="0.25">
      <c r="B17" s="32" t="s">
        <v>98</v>
      </c>
      <c r="C17" s="33" t="s">
        <v>99</v>
      </c>
      <c r="D17" s="34">
        <v>154</v>
      </c>
      <c r="E17" s="41">
        <v>0.1905940594059406</v>
      </c>
      <c r="F17" s="46" t="s">
        <v>100</v>
      </c>
    </row>
    <row r="18" spans="2:6" ht="22.05" customHeight="1" x14ac:dyDescent="0.25">
      <c r="B18" s="27" t="s">
        <v>101</v>
      </c>
      <c r="C18" s="28" t="s">
        <v>102</v>
      </c>
      <c r="D18" s="29">
        <v>143</v>
      </c>
      <c r="E18" s="40">
        <v>0.176980198019802</v>
      </c>
      <c r="F18" s="47" t="s">
        <v>84</v>
      </c>
    </row>
    <row r="19" spans="2:6" ht="22.05" customHeight="1" x14ac:dyDescent="0.25">
      <c r="B19" s="32" t="s">
        <v>103</v>
      </c>
      <c r="C19" s="33" t="s">
        <v>104</v>
      </c>
      <c r="D19" s="34">
        <v>143</v>
      </c>
      <c r="E19" s="41">
        <v>0.176980198019802</v>
      </c>
      <c r="F19" s="39" t="s">
        <v>84</v>
      </c>
    </row>
    <row r="20" spans="2:6" ht="22.05" customHeight="1" x14ac:dyDescent="0.25">
      <c r="B20" s="27" t="s">
        <v>105</v>
      </c>
      <c r="C20" s="28" t="s">
        <v>106</v>
      </c>
      <c r="D20" s="29">
        <v>138</v>
      </c>
      <c r="E20" s="40">
        <v>0.1707920792079208</v>
      </c>
      <c r="F20" s="43" t="s">
        <v>92</v>
      </c>
    </row>
    <row r="21" spans="2:6" ht="22.05" customHeight="1" x14ac:dyDescent="0.25">
      <c r="B21" s="32" t="s">
        <v>107</v>
      </c>
      <c r="C21" s="33" t="s">
        <v>108</v>
      </c>
      <c r="D21" s="34">
        <v>136</v>
      </c>
      <c r="E21" s="41">
        <v>0.1683168316831683</v>
      </c>
      <c r="F21" s="48" t="s">
        <v>71</v>
      </c>
    </row>
    <row r="22" spans="2:6" ht="22.05" customHeight="1" x14ac:dyDescent="0.25">
      <c r="B22" s="27" t="s">
        <v>109</v>
      </c>
      <c r="C22" s="28" t="s">
        <v>110</v>
      </c>
      <c r="D22" s="29">
        <v>135</v>
      </c>
      <c r="E22" s="40">
        <v>0.16707920792079209</v>
      </c>
      <c r="F22" s="49" t="s">
        <v>74</v>
      </c>
    </row>
    <row r="23" spans="2:6" ht="22.05" customHeight="1" x14ac:dyDescent="0.25">
      <c r="B23" s="32" t="s">
        <v>111</v>
      </c>
      <c r="C23" s="33" t="s">
        <v>112</v>
      </c>
      <c r="D23" s="34">
        <v>132</v>
      </c>
      <c r="E23" s="41">
        <v>0.1633663366336634</v>
      </c>
      <c r="F23" s="50" t="s">
        <v>113</v>
      </c>
    </row>
    <row r="24" spans="2:6" ht="22.05" customHeight="1" x14ac:dyDescent="0.25">
      <c r="B24" s="27" t="s">
        <v>114</v>
      </c>
      <c r="C24" s="28" t="s">
        <v>115</v>
      </c>
      <c r="D24" s="29">
        <v>128</v>
      </c>
      <c r="E24" s="40">
        <v>0.15841584158415839</v>
      </c>
      <c r="F24" s="47" t="s">
        <v>84</v>
      </c>
    </row>
    <row r="25" spans="2:6" ht="22.05" customHeight="1" x14ac:dyDescent="0.25">
      <c r="B25" s="32" t="s">
        <v>116</v>
      </c>
      <c r="C25" s="33" t="s">
        <v>117</v>
      </c>
      <c r="D25" s="34">
        <v>127</v>
      </c>
      <c r="E25" s="41">
        <v>0.15717821782178221</v>
      </c>
      <c r="F25" s="48" t="s">
        <v>71</v>
      </c>
    </row>
    <row r="26" spans="2:6" ht="22.05" customHeight="1" x14ac:dyDescent="0.25">
      <c r="B26" s="27" t="s">
        <v>118</v>
      </c>
      <c r="C26" s="28" t="s">
        <v>119</v>
      </c>
      <c r="D26" s="29">
        <v>120</v>
      </c>
      <c r="E26" s="40">
        <v>0.14851485148514851</v>
      </c>
      <c r="F26" s="31" t="s">
        <v>71</v>
      </c>
    </row>
    <row r="27" spans="2:6" ht="22.05" customHeight="1" x14ac:dyDescent="0.25">
      <c r="B27" s="32" t="s">
        <v>120</v>
      </c>
      <c r="C27" s="33" t="s">
        <v>121</v>
      </c>
      <c r="D27" s="34">
        <v>118</v>
      </c>
      <c r="E27" s="41">
        <v>0.146039603960396</v>
      </c>
      <c r="F27" s="39" t="s">
        <v>84</v>
      </c>
    </row>
    <row r="28" spans="2:6" ht="22.05" customHeight="1" x14ac:dyDescent="0.25">
      <c r="B28" s="27" t="s">
        <v>122</v>
      </c>
      <c r="C28" s="28" t="s">
        <v>123</v>
      </c>
      <c r="D28" s="29">
        <v>118</v>
      </c>
      <c r="E28" s="40">
        <v>0.146039603960396</v>
      </c>
      <c r="F28" s="51" t="s">
        <v>124</v>
      </c>
    </row>
    <row r="29" spans="2:6" ht="22.05" customHeight="1" x14ac:dyDescent="0.25">
      <c r="B29" s="32" t="s">
        <v>125</v>
      </c>
      <c r="C29" s="33" t="s">
        <v>126</v>
      </c>
      <c r="D29" s="34">
        <v>117</v>
      </c>
      <c r="E29" s="41">
        <v>0.14480198019801979</v>
      </c>
      <c r="F29" s="50" t="s">
        <v>113</v>
      </c>
    </row>
    <row r="30" spans="2:6" ht="22.05" customHeight="1" x14ac:dyDescent="0.25">
      <c r="B30" s="27" t="s">
        <v>127</v>
      </c>
      <c r="C30" s="28" t="s">
        <v>128</v>
      </c>
      <c r="D30" s="29">
        <v>113</v>
      </c>
      <c r="E30" s="40">
        <v>0.13985148514851489</v>
      </c>
      <c r="F30" s="45" t="s">
        <v>97</v>
      </c>
    </row>
    <row r="31" spans="2:6" ht="22.05" customHeight="1" x14ac:dyDescent="0.25">
      <c r="B31" s="32" t="s">
        <v>129</v>
      </c>
      <c r="C31" s="33" t="s">
        <v>130</v>
      </c>
      <c r="D31" s="34">
        <v>112</v>
      </c>
      <c r="E31" s="41">
        <v>0.1386138613861386</v>
      </c>
      <c r="F31" s="39" t="s">
        <v>84</v>
      </c>
    </row>
    <row r="32" spans="2:6" ht="22.05" customHeight="1" x14ac:dyDescent="0.25">
      <c r="B32" s="27" t="s">
        <v>131</v>
      </c>
      <c r="C32" s="28" t="s">
        <v>132</v>
      </c>
      <c r="D32" s="29">
        <v>112</v>
      </c>
      <c r="E32" s="40">
        <v>0.1386138613861386</v>
      </c>
      <c r="F32" s="31" t="s">
        <v>71</v>
      </c>
    </row>
    <row r="33" spans="2:6" ht="22.05" customHeight="1" x14ac:dyDescent="0.25">
      <c r="B33" s="32" t="s">
        <v>133</v>
      </c>
      <c r="C33" s="33" t="s">
        <v>134</v>
      </c>
      <c r="D33" s="34">
        <v>112</v>
      </c>
      <c r="E33" s="41">
        <v>0.1386138613861386</v>
      </c>
      <c r="F33" s="38" t="s">
        <v>77</v>
      </c>
    </row>
    <row r="34" spans="2:6" ht="22.05" customHeight="1" x14ac:dyDescent="0.25">
      <c r="B34" s="27" t="s">
        <v>135</v>
      </c>
      <c r="C34" s="28" t="s">
        <v>136</v>
      </c>
      <c r="D34" s="29">
        <v>111</v>
      </c>
      <c r="E34" s="40">
        <v>0.13737623762376239</v>
      </c>
      <c r="F34" s="31" t="s">
        <v>71</v>
      </c>
    </row>
    <row r="35" spans="2:6" ht="22.05" customHeight="1" x14ac:dyDescent="0.25">
      <c r="B35" s="32" t="s">
        <v>137</v>
      </c>
      <c r="C35" s="33" t="s">
        <v>138</v>
      </c>
      <c r="D35" s="34">
        <v>110</v>
      </c>
      <c r="E35" s="41">
        <v>0.13613861386138609</v>
      </c>
      <c r="F35" s="39" t="s">
        <v>84</v>
      </c>
    </row>
    <row r="36" spans="2:6" ht="22.05" customHeight="1" x14ac:dyDescent="0.25">
      <c r="B36" s="27" t="s">
        <v>139</v>
      </c>
      <c r="C36" s="28" t="s">
        <v>140</v>
      </c>
      <c r="D36" s="29">
        <v>110</v>
      </c>
      <c r="E36" s="40">
        <v>0.13613861386138609</v>
      </c>
      <c r="F36" s="51" t="s">
        <v>124</v>
      </c>
    </row>
    <row r="37" spans="2:6" ht="22.05" customHeight="1" x14ac:dyDescent="0.25">
      <c r="B37" s="32" t="s">
        <v>141</v>
      </c>
      <c r="C37" s="33" t="s">
        <v>142</v>
      </c>
      <c r="D37" s="34">
        <v>109</v>
      </c>
      <c r="E37" s="41">
        <v>0.13490099009900991</v>
      </c>
      <c r="F37" s="44" t="s">
        <v>92</v>
      </c>
    </row>
    <row r="38" spans="2:6" ht="22.05" customHeight="1" x14ac:dyDescent="0.25">
      <c r="B38" s="27" t="s">
        <v>143</v>
      </c>
      <c r="C38" s="28" t="s">
        <v>144</v>
      </c>
      <c r="D38" s="29">
        <v>107</v>
      </c>
      <c r="E38" s="40">
        <v>0.1324257425742574</v>
      </c>
      <c r="F38" s="52" t="s">
        <v>89</v>
      </c>
    </row>
    <row r="39" spans="2:6" ht="22.05" customHeight="1" x14ac:dyDescent="0.25">
      <c r="B39" s="32" t="s">
        <v>145</v>
      </c>
      <c r="C39" s="33" t="s">
        <v>146</v>
      </c>
      <c r="D39" s="34">
        <v>107</v>
      </c>
      <c r="E39" s="41">
        <v>0.1324257425742574</v>
      </c>
      <c r="F39" s="36" t="s">
        <v>74</v>
      </c>
    </row>
    <row r="40" spans="2:6" ht="22.05" customHeight="1" x14ac:dyDescent="0.25">
      <c r="B40" s="27" t="s">
        <v>147</v>
      </c>
      <c r="C40" s="28" t="s">
        <v>148</v>
      </c>
      <c r="D40" s="29">
        <v>105</v>
      </c>
      <c r="E40" s="40">
        <v>0.12995049504950501</v>
      </c>
      <c r="F40" s="49" t="s">
        <v>74</v>
      </c>
    </row>
    <row r="41" spans="2:6" ht="22.05" customHeight="1" x14ac:dyDescent="0.25">
      <c r="B41" s="32" t="s">
        <v>149</v>
      </c>
      <c r="C41" s="33" t="s">
        <v>150</v>
      </c>
      <c r="D41" s="34">
        <v>105</v>
      </c>
      <c r="E41" s="41">
        <v>0.12995049504950501</v>
      </c>
      <c r="F41" s="48" t="s">
        <v>71</v>
      </c>
    </row>
    <row r="42" spans="2:6" ht="22.05" customHeight="1" x14ac:dyDescent="0.25">
      <c r="B42" s="27" t="s">
        <v>151</v>
      </c>
      <c r="C42" s="28" t="s">
        <v>152</v>
      </c>
      <c r="D42" s="29">
        <v>104</v>
      </c>
      <c r="E42" s="40">
        <v>0.12871287128712869</v>
      </c>
      <c r="F42" s="47" t="s">
        <v>84</v>
      </c>
    </row>
    <row r="43" spans="2:6" ht="22.05" customHeight="1" x14ac:dyDescent="0.25">
      <c r="B43" s="32" t="s">
        <v>153</v>
      </c>
      <c r="C43" s="33" t="s">
        <v>154</v>
      </c>
      <c r="D43" s="34">
        <v>103</v>
      </c>
      <c r="E43" s="41">
        <v>0.12747524752475251</v>
      </c>
      <c r="F43" s="50" t="s">
        <v>113</v>
      </c>
    </row>
    <row r="44" spans="2:6" ht="22.05" customHeight="1" x14ac:dyDescent="0.25">
      <c r="B44" s="27" t="s">
        <v>155</v>
      </c>
      <c r="C44" s="28" t="s">
        <v>156</v>
      </c>
      <c r="D44" s="29">
        <v>103</v>
      </c>
      <c r="E44" s="40">
        <v>0.12747524752475251</v>
      </c>
      <c r="F44" s="31" t="s">
        <v>71</v>
      </c>
    </row>
    <row r="45" spans="2:6" ht="22.05" customHeight="1" x14ac:dyDescent="0.25">
      <c r="B45" s="32" t="s">
        <v>157</v>
      </c>
      <c r="C45" s="33" t="s">
        <v>158</v>
      </c>
      <c r="D45" s="34">
        <v>103</v>
      </c>
      <c r="E45" s="41">
        <v>0.12747524752475251</v>
      </c>
      <c r="F45" s="50" t="s">
        <v>113</v>
      </c>
    </row>
    <row r="46" spans="2:6" ht="22.05" customHeight="1" x14ac:dyDescent="0.25">
      <c r="B46" s="27" t="s">
        <v>159</v>
      </c>
      <c r="C46" s="28" t="s">
        <v>160</v>
      </c>
      <c r="D46" s="29">
        <v>102</v>
      </c>
      <c r="E46" s="40">
        <v>0.12623762376237621</v>
      </c>
      <c r="F46" s="51" t="s">
        <v>124</v>
      </c>
    </row>
    <row r="47" spans="2:6" ht="22.05" customHeight="1" x14ac:dyDescent="0.25">
      <c r="B47" s="32" t="s">
        <v>161</v>
      </c>
      <c r="C47" s="33" t="s">
        <v>162</v>
      </c>
      <c r="D47" s="34">
        <v>101</v>
      </c>
      <c r="E47" s="41">
        <v>0.125</v>
      </c>
      <c r="F47" s="44" t="s">
        <v>92</v>
      </c>
    </row>
    <row r="48" spans="2:6" ht="22.05" customHeight="1" x14ac:dyDescent="0.25">
      <c r="B48" s="27" t="s">
        <v>163</v>
      </c>
      <c r="C48" s="28" t="s">
        <v>164</v>
      </c>
      <c r="D48" s="29">
        <v>100</v>
      </c>
      <c r="E48" s="40">
        <v>0.1237623762376238</v>
      </c>
      <c r="F48" s="51" t="s">
        <v>124</v>
      </c>
    </row>
    <row r="49" spans="2:6" ht="22.05" customHeight="1" x14ac:dyDescent="0.25">
      <c r="B49" s="32" t="s">
        <v>165</v>
      </c>
      <c r="C49" s="33" t="s">
        <v>166</v>
      </c>
      <c r="D49" s="34">
        <v>98</v>
      </c>
      <c r="E49" s="41">
        <v>0.1212871287128713</v>
      </c>
      <c r="F49" s="38" t="s">
        <v>77</v>
      </c>
    </row>
    <row r="50" spans="2:6" ht="22.05" customHeight="1" x14ac:dyDescent="0.25">
      <c r="B50" s="27" t="s">
        <v>167</v>
      </c>
      <c r="C50" s="28" t="s">
        <v>168</v>
      </c>
      <c r="D50" s="29">
        <v>98</v>
      </c>
      <c r="E50" s="40">
        <v>0.1212871287128713</v>
      </c>
      <c r="F50" s="31" t="s">
        <v>71</v>
      </c>
    </row>
    <row r="51" spans="2:6" ht="22.05" customHeight="1" x14ac:dyDescent="0.25">
      <c r="B51" s="32" t="s">
        <v>169</v>
      </c>
      <c r="C51" s="33" t="s">
        <v>170</v>
      </c>
      <c r="D51" s="34">
        <v>96</v>
      </c>
      <c r="E51" s="41">
        <v>0.11881188118811881</v>
      </c>
      <c r="F51" s="48" t="s">
        <v>71</v>
      </c>
    </row>
    <row r="52" spans="2:6" ht="22.05" customHeight="1" x14ac:dyDescent="0.25">
      <c r="B52" s="27" t="s">
        <v>171</v>
      </c>
      <c r="C52" s="28" t="s">
        <v>172</v>
      </c>
      <c r="D52" s="29">
        <v>95</v>
      </c>
      <c r="E52" s="40">
        <v>0.1175742574257426</v>
      </c>
      <c r="F52" s="53" t="s">
        <v>173</v>
      </c>
    </row>
    <row r="53" spans="2:6" ht="22.05" customHeight="1" x14ac:dyDescent="0.25">
      <c r="B53" s="32" t="s">
        <v>174</v>
      </c>
      <c r="C53" s="33" t="s">
        <v>175</v>
      </c>
      <c r="D53" s="34">
        <v>94</v>
      </c>
      <c r="E53" s="41">
        <v>0.1163366336633663</v>
      </c>
      <c r="F53" s="44" t="s">
        <v>92</v>
      </c>
    </row>
    <row r="54" spans="2:6" ht="22.05" customHeight="1" x14ac:dyDescent="0.25">
      <c r="B54" s="27" t="s">
        <v>176</v>
      </c>
      <c r="C54" s="28" t="s">
        <v>177</v>
      </c>
      <c r="D54" s="29">
        <v>93</v>
      </c>
      <c r="E54" s="40">
        <v>0.1150990099009901</v>
      </c>
      <c r="F54" s="51" t="s">
        <v>124</v>
      </c>
    </row>
    <row r="55" spans="2:6" ht="22.05" customHeight="1" x14ac:dyDescent="0.25">
      <c r="B55" s="32" t="s">
        <v>178</v>
      </c>
      <c r="C55" s="33" t="s">
        <v>179</v>
      </c>
      <c r="D55" s="34">
        <v>93</v>
      </c>
      <c r="E55" s="41">
        <v>0.1150990099009901</v>
      </c>
      <c r="F55" s="42" t="s">
        <v>89</v>
      </c>
    </row>
    <row r="57" spans="2:6" x14ac:dyDescent="0.25">
      <c r="B57" s="91" t="s">
        <v>180</v>
      </c>
      <c r="C57" s="79"/>
      <c r="D57" s="79"/>
      <c r="E57" s="79"/>
      <c r="F57" s="79"/>
    </row>
  </sheetData>
  <mergeCells count="3">
    <mergeCell ref="B2:F2"/>
    <mergeCell ref="B57:F57"/>
    <mergeCell ref="B3:F3"/>
  </mergeCells>
  <phoneticPr fontId="27"/>
  <conditionalFormatting sqref="E6:E55">
    <cfRule type="dataBar" priority="1">
      <dataBar>
        <cfvo type="num" val="0"/>
        <cfvo type="max"/>
        <color rgb="FF1A56DB"/>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E9F6E"/>
  </sheetPr>
  <dimension ref="B1:E15"/>
  <sheetViews>
    <sheetView showGridLines="0" workbookViewId="0"/>
  </sheetViews>
  <sheetFormatPr defaultRowHeight="12.75" x14ac:dyDescent="0.25"/>
  <cols>
    <col min="1" max="1" width="2" customWidth="1"/>
    <col min="2" max="2" width="26" customWidth="1"/>
    <col min="3" max="3" width="13" customWidth="1"/>
    <col min="4" max="4" width="17" customWidth="1"/>
    <col min="5" max="5" width="15" customWidth="1"/>
  </cols>
  <sheetData>
    <row r="1" spans="2:5" ht="5" customHeight="1" x14ac:dyDescent="0.25">
      <c r="B1" s="54"/>
      <c r="C1" s="54"/>
      <c r="D1" s="54"/>
      <c r="E1" s="54"/>
    </row>
    <row r="2" spans="2:5" ht="38" customHeight="1" x14ac:dyDescent="0.25">
      <c r="B2" s="90" t="s">
        <v>181</v>
      </c>
      <c r="C2" s="79"/>
      <c r="D2" s="79"/>
      <c r="E2" s="79"/>
    </row>
    <row r="3" spans="2:5" ht="40.049999999999997" customHeight="1" x14ac:dyDescent="0.25">
      <c r="B3" s="92" t="s">
        <v>182</v>
      </c>
      <c r="C3" s="79"/>
      <c r="D3" s="79"/>
      <c r="E3" s="79"/>
    </row>
    <row r="4" spans="2:5" ht="10.050000000000001" customHeight="1" x14ac:dyDescent="0.25"/>
    <row r="5" spans="2:5" ht="28.05" customHeight="1" x14ac:dyDescent="0.25">
      <c r="B5" s="55" t="s">
        <v>68</v>
      </c>
      <c r="C5" s="55" t="s">
        <v>183</v>
      </c>
      <c r="D5" s="55" t="s">
        <v>184</v>
      </c>
      <c r="E5" s="55" t="s">
        <v>185</v>
      </c>
    </row>
    <row r="6" spans="2:5" ht="26" customHeight="1" x14ac:dyDescent="0.25">
      <c r="B6" s="15" t="s">
        <v>186</v>
      </c>
      <c r="C6" s="29">
        <v>11</v>
      </c>
      <c r="D6" s="29">
        <v>1510</v>
      </c>
      <c r="E6" s="30">
        <v>0.22248416089583031</v>
      </c>
    </row>
    <row r="7" spans="2:5" ht="26" customHeight="1" x14ac:dyDescent="0.25">
      <c r="B7" s="18" t="s">
        <v>187</v>
      </c>
      <c r="C7" s="34">
        <v>8</v>
      </c>
      <c r="D7" s="34">
        <v>1145</v>
      </c>
      <c r="E7" s="35">
        <v>0.16870487697067921</v>
      </c>
    </row>
    <row r="8" spans="2:5" ht="26" customHeight="1" x14ac:dyDescent="0.25">
      <c r="B8" s="15" t="s">
        <v>188</v>
      </c>
      <c r="C8" s="29">
        <v>10</v>
      </c>
      <c r="D8" s="29">
        <v>960</v>
      </c>
      <c r="E8" s="30">
        <v>0.14144688374834241</v>
      </c>
    </row>
    <row r="9" spans="2:5" ht="26" customHeight="1" x14ac:dyDescent="0.25">
      <c r="B9" s="18" t="s">
        <v>92</v>
      </c>
      <c r="C9" s="34">
        <v>6</v>
      </c>
      <c r="D9" s="34">
        <v>953</v>
      </c>
      <c r="E9" s="35">
        <v>0.14041550022101079</v>
      </c>
    </row>
    <row r="10" spans="2:5" ht="26" customHeight="1" x14ac:dyDescent="0.25">
      <c r="B10" s="15" t="s">
        <v>189</v>
      </c>
      <c r="C10" s="29">
        <v>9</v>
      </c>
      <c r="D10" s="29">
        <v>861</v>
      </c>
      <c r="E10" s="30">
        <v>0.1268601738617946</v>
      </c>
    </row>
    <row r="11" spans="2:5" ht="26" customHeight="1" x14ac:dyDescent="0.25">
      <c r="B11" s="18" t="s">
        <v>190</v>
      </c>
      <c r="C11" s="34">
        <v>9</v>
      </c>
      <c r="D11" s="34">
        <v>764</v>
      </c>
      <c r="E11" s="41">
        <v>0.1125681449830558</v>
      </c>
    </row>
    <row r="12" spans="2:5" ht="26" customHeight="1" x14ac:dyDescent="0.25">
      <c r="B12" s="15" t="s">
        <v>173</v>
      </c>
      <c r="C12" s="29">
        <v>6</v>
      </c>
      <c r="D12" s="29">
        <v>594</v>
      </c>
      <c r="E12" s="40">
        <v>8.7520259319286878E-2</v>
      </c>
    </row>
    <row r="13" spans="2:5" ht="26" customHeight="1" x14ac:dyDescent="0.25">
      <c r="B13" s="56" t="s">
        <v>191</v>
      </c>
      <c r="C13" s="57">
        <f>SUM(C6:C12)</f>
        <v>59</v>
      </c>
      <c r="D13" s="57">
        <f>SUM(D6:D12)</f>
        <v>6787</v>
      </c>
      <c r="E13" s="58">
        <v>1</v>
      </c>
    </row>
    <row r="15" spans="2:5" x14ac:dyDescent="0.25">
      <c r="B15" s="91" t="s">
        <v>192</v>
      </c>
      <c r="C15" s="79"/>
      <c r="D15" s="79"/>
      <c r="E15" s="79"/>
    </row>
  </sheetData>
  <mergeCells count="3">
    <mergeCell ref="B15:E15"/>
    <mergeCell ref="B3:E3"/>
    <mergeCell ref="B2:E2"/>
  </mergeCells>
  <phoneticPr fontId="27"/>
  <conditionalFormatting sqref="D6:D12">
    <cfRule type="dataBar" priority="1">
      <dataBar>
        <cfvo type="num" val="0"/>
        <cfvo type="max"/>
        <color rgb="FF0E9F6E"/>
      </dataBar>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7706"/>
  </sheetPr>
  <dimension ref="B1:G51"/>
  <sheetViews>
    <sheetView showGridLines="0" workbookViewId="0">
      <pane xSplit="1" ySplit="8" topLeftCell="C9" activePane="bottomRight" state="frozen"/>
      <selection pane="topRight"/>
      <selection pane="bottomLeft"/>
      <selection pane="bottomRight" activeCell="H10" sqref="H10"/>
    </sheetView>
  </sheetViews>
  <sheetFormatPr defaultRowHeight="12.75" x14ac:dyDescent="0.25"/>
  <cols>
    <col min="1" max="1" width="2" customWidth="1"/>
    <col min="2" max="2" width="6" customWidth="1"/>
    <col min="3" max="3" width="34" customWidth="1"/>
    <col min="4" max="4" width="13" customWidth="1"/>
    <col min="5" max="5" width="14" customWidth="1"/>
    <col min="6" max="6" width="17" customWidth="1"/>
    <col min="7" max="7" width="14" customWidth="1"/>
  </cols>
  <sheetData>
    <row r="1" spans="2:7" ht="5" customHeight="1" x14ac:dyDescent="0.25">
      <c r="B1" s="59"/>
      <c r="C1" s="59"/>
      <c r="D1" s="59"/>
      <c r="E1" s="59"/>
      <c r="F1" s="59"/>
      <c r="G1" s="59"/>
    </row>
    <row r="2" spans="2:7" ht="38" customHeight="1" x14ac:dyDescent="0.25">
      <c r="B2" s="93" t="s">
        <v>193</v>
      </c>
      <c r="C2" s="79"/>
      <c r="D2" s="79"/>
      <c r="E2" s="79"/>
      <c r="F2" s="79"/>
      <c r="G2" s="79"/>
    </row>
    <row r="3" spans="2:7" ht="55.05" customHeight="1" x14ac:dyDescent="0.25">
      <c r="B3" s="103" t="s">
        <v>348</v>
      </c>
      <c r="C3" s="79"/>
      <c r="D3" s="79"/>
      <c r="E3" s="79"/>
      <c r="F3" s="79"/>
      <c r="G3" s="79"/>
    </row>
    <row r="4" spans="2:7" ht="10.050000000000001" customHeight="1" x14ac:dyDescent="0.25"/>
    <row r="5" spans="2:7" ht="26" customHeight="1" x14ac:dyDescent="0.25">
      <c r="B5" s="95" t="s">
        <v>194</v>
      </c>
      <c r="C5" s="79"/>
      <c r="D5" s="79"/>
      <c r="E5" s="79"/>
      <c r="F5" s="79"/>
      <c r="G5" s="79"/>
    </row>
    <row r="6" spans="2:7" ht="32" customHeight="1" x14ac:dyDescent="0.25">
      <c r="B6" s="102" t="s">
        <v>347</v>
      </c>
      <c r="C6" s="79"/>
      <c r="D6" s="79"/>
      <c r="E6" s="79"/>
      <c r="F6" s="79"/>
      <c r="G6" s="79"/>
    </row>
    <row r="7" spans="2:7" ht="10.050000000000001" customHeight="1" x14ac:dyDescent="0.25"/>
    <row r="8" spans="2:7" ht="28.05" customHeight="1" x14ac:dyDescent="0.25">
      <c r="B8" s="60" t="s">
        <v>64</v>
      </c>
      <c r="C8" s="60" t="s">
        <v>65</v>
      </c>
      <c r="D8" s="60" t="s">
        <v>66</v>
      </c>
      <c r="E8" s="60" t="s">
        <v>67</v>
      </c>
      <c r="F8" s="60" t="s">
        <v>195</v>
      </c>
      <c r="G8" s="60" t="s">
        <v>196</v>
      </c>
    </row>
    <row r="9" spans="2:7" ht="22.05" customHeight="1" x14ac:dyDescent="0.25">
      <c r="B9" s="27" t="s">
        <v>69</v>
      </c>
      <c r="C9" s="28" t="s">
        <v>197</v>
      </c>
      <c r="D9" s="29">
        <v>17</v>
      </c>
      <c r="E9" s="40">
        <v>2.1039603960395999E-2</v>
      </c>
      <c r="F9" s="29">
        <v>1320</v>
      </c>
      <c r="G9" s="61">
        <v>181</v>
      </c>
    </row>
    <row r="10" spans="2:7" ht="22.05" customHeight="1" x14ac:dyDescent="0.25">
      <c r="B10" s="32" t="s">
        <v>72</v>
      </c>
      <c r="C10" s="33" t="s">
        <v>198</v>
      </c>
      <c r="D10" s="34">
        <v>13</v>
      </c>
      <c r="E10" s="41">
        <v>1.6089108910890999E-2</v>
      </c>
      <c r="F10" s="34">
        <v>2940</v>
      </c>
      <c r="G10" s="62">
        <v>62.1</v>
      </c>
    </row>
    <row r="11" spans="2:7" ht="22.05" customHeight="1" x14ac:dyDescent="0.25">
      <c r="B11" s="27" t="s">
        <v>75</v>
      </c>
      <c r="C11" s="28" t="s">
        <v>199</v>
      </c>
      <c r="D11" s="29">
        <v>13</v>
      </c>
      <c r="E11" s="40">
        <v>1.6089108910890999E-2</v>
      </c>
      <c r="F11" s="29">
        <v>3650</v>
      </c>
      <c r="G11" s="61">
        <v>50</v>
      </c>
    </row>
    <row r="12" spans="2:7" ht="22.05" customHeight="1" x14ac:dyDescent="0.25">
      <c r="B12" s="32" t="s">
        <v>78</v>
      </c>
      <c r="C12" s="33" t="s">
        <v>200</v>
      </c>
      <c r="D12" s="34">
        <v>18</v>
      </c>
      <c r="E12" s="41">
        <v>2.22772277227722E-2</v>
      </c>
      <c r="F12" s="34">
        <v>5910</v>
      </c>
      <c r="G12" s="63">
        <v>42.8</v>
      </c>
    </row>
    <row r="13" spans="2:7" ht="22.05" customHeight="1" x14ac:dyDescent="0.25">
      <c r="B13" s="27" t="s">
        <v>80</v>
      </c>
      <c r="C13" s="28" t="s">
        <v>201</v>
      </c>
      <c r="D13" s="29">
        <v>18</v>
      </c>
      <c r="E13" s="40">
        <v>2.22772277227722E-2</v>
      </c>
      <c r="F13" s="29">
        <v>6580</v>
      </c>
      <c r="G13" s="64">
        <v>38.4</v>
      </c>
    </row>
    <row r="14" spans="2:7" ht="22.05" customHeight="1" x14ac:dyDescent="0.25">
      <c r="B14" s="32" t="s">
        <v>82</v>
      </c>
      <c r="C14" s="33" t="s">
        <v>202</v>
      </c>
      <c r="D14" s="34">
        <v>11</v>
      </c>
      <c r="E14" s="41">
        <v>1.36138613861386E-2</v>
      </c>
      <c r="F14" s="34">
        <v>4220</v>
      </c>
      <c r="G14" s="63">
        <v>36.6</v>
      </c>
    </row>
    <row r="15" spans="2:7" ht="22.05" customHeight="1" x14ac:dyDescent="0.25">
      <c r="B15" s="27" t="s">
        <v>85</v>
      </c>
      <c r="C15" s="28" t="s">
        <v>203</v>
      </c>
      <c r="D15" s="29">
        <v>20</v>
      </c>
      <c r="E15" s="40">
        <v>2.4752475247524702E-2</v>
      </c>
      <c r="F15" s="29">
        <v>7770</v>
      </c>
      <c r="G15" s="64">
        <v>36.200000000000003</v>
      </c>
    </row>
    <row r="16" spans="2:7" ht="22.05" customHeight="1" x14ac:dyDescent="0.25">
      <c r="B16" s="32" t="s">
        <v>87</v>
      </c>
      <c r="C16" s="33" t="s">
        <v>204</v>
      </c>
      <c r="D16" s="34">
        <v>11</v>
      </c>
      <c r="E16" s="41">
        <v>1.36138613861386E-2</v>
      </c>
      <c r="F16" s="34">
        <v>4280</v>
      </c>
      <c r="G16" s="63">
        <v>36.1</v>
      </c>
    </row>
    <row r="17" spans="2:7" ht="22.05" customHeight="1" x14ac:dyDescent="0.25">
      <c r="B17" s="27" t="s">
        <v>90</v>
      </c>
      <c r="C17" s="28" t="s">
        <v>205</v>
      </c>
      <c r="D17" s="29">
        <v>10</v>
      </c>
      <c r="E17" s="40">
        <v>1.23762376237623E-2</v>
      </c>
      <c r="F17" s="29">
        <v>3940</v>
      </c>
      <c r="G17" s="64">
        <v>35.700000000000003</v>
      </c>
    </row>
    <row r="18" spans="2:7" ht="22.05" customHeight="1" x14ac:dyDescent="0.25">
      <c r="B18" s="32" t="s">
        <v>93</v>
      </c>
      <c r="C18" s="33" t="s">
        <v>206</v>
      </c>
      <c r="D18" s="34">
        <v>14</v>
      </c>
      <c r="E18" s="41">
        <v>1.73267326732673E-2</v>
      </c>
      <c r="F18" s="34">
        <v>5540</v>
      </c>
      <c r="G18" s="63">
        <v>35.5</v>
      </c>
    </row>
    <row r="19" spans="2:7" ht="22.05" customHeight="1" x14ac:dyDescent="0.25">
      <c r="B19" s="27" t="s">
        <v>95</v>
      </c>
      <c r="C19" s="28" t="s">
        <v>207</v>
      </c>
      <c r="D19" s="29">
        <v>24</v>
      </c>
      <c r="E19" s="40">
        <v>2.9702970297029702E-2</v>
      </c>
      <c r="F19" s="29">
        <v>9620</v>
      </c>
      <c r="G19" s="64">
        <v>35.1</v>
      </c>
    </row>
    <row r="20" spans="2:7" ht="22.05" customHeight="1" x14ac:dyDescent="0.25">
      <c r="B20" s="32" t="s">
        <v>98</v>
      </c>
      <c r="C20" s="33" t="s">
        <v>208</v>
      </c>
      <c r="D20" s="34">
        <v>12</v>
      </c>
      <c r="E20" s="41">
        <v>1.48514851485148E-2</v>
      </c>
      <c r="F20" s="34">
        <v>4860</v>
      </c>
      <c r="G20" s="63">
        <v>34.700000000000003</v>
      </c>
    </row>
    <row r="21" spans="2:7" ht="22.05" customHeight="1" x14ac:dyDescent="0.25">
      <c r="B21" s="27" t="s">
        <v>101</v>
      </c>
      <c r="C21" s="28" t="s">
        <v>209</v>
      </c>
      <c r="D21" s="29">
        <v>10</v>
      </c>
      <c r="E21" s="40">
        <v>1.23762376237623E-2</v>
      </c>
      <c r="F21" s="29">
        <v>4080</v>
      </c>
      <c r="G21" s="64">
        <v>34.4</v>
      </c>
    </row>
    <row r="22" spans="2:7" ht="22.05" customHeight="1" x14ac:dyDescent="0.25">
      <c r="B22" s="32" t="s">
        <v>103</v>
      </c>
      <c r="C22" s="33" t="s">
        <v>210</v>
      </c>
      <c r="D22" s="34">
        <v>31</v>
      </c>
      <c r="E22" s="41">
        <v>3.8366336633663303E-2</v>
      </c>
      <c r="F22" s="34">
        <v>12800</v>
      </c>
      <c r="G22" s="63">
        <v>34</v>
      </c>
    </row>
    <row r="23" spans="2:7" ht="22.05" customHeight="1" x14ac:dyDescent="0.25">
      <c r="B23" s="27" t="s">
        <v>105</v>
      </c>
      <c r="C23" s="28" t="s">
        <v>211</v>
      </c>
      <c r="D23" s="29">
        <v>17</v>
      </c>
      <c r="E23" s="40">
        <v>2.1039603960395999E-2</v>
      </c>
      <c r="F23" s="29">
        <v>7100</v>
      </c>
      <c r="G23" s="64">
        <v>33.6</v>
      </c>
    </row>
    <row r="24" spans="2:7" ht="22.05" customHeight="1" x14ac:dyDescent="0.25">
      <c r="B24" s="32" t="s">
        <v>107</v>
      </c>
      <c r="C24" s="33" t="s">
        <v>212</v>
      </c>
      <c r="D24" s="34">
        <v>16</v>
      </c>
      <c r="E24" s="41">
        <v>1.9801980198019799E-2</v>
      </c>
      <c r="F24" s="34">
        <v>7060</v>
      </c>
      <c r="G24" s="63">
        <v>31.8</v>
      </c>
    </row>
    <row r="25" spans="2:7" ht="22.05" customHeight="1" x14ac:dyDescent="0.25">
      <c r="B25" s="27" t="s">
        <v>109</v>
      </c>
      <c r="C25" s="28" t="s">
        <v>213</v>
      </c>
      <c r="D25" s="29">
        <v>42</v>
      </c>
      <c r="E25" s="40">
        <v>5.1980198019801901E-2</v>
      </c>
      <c r="F25" s="29">
        <v>19200</v>
      </c>
      <c r="G25" s="64">
        <v>30.7</v>
      </c>
    </row>
    <row r="26" spans="2:7" ht="22.05" customHeight="1" x14ac:dyDescent="0.25">
      <c r="B26" s="32" t="s">
        <v>111</v>
      </c>
      <c r="C26" s="33" t="s">
        <v>214</v>
      </c>
      <c r="D26" s="34">
        <v>11</v>
      </c>
      <c r="E26" s="41">
        <v>1.36138613861386E-2</v>
      </c>
      <c r="F26" s="34">
        <v>5050</v>
      </c>
      <c r="G26" s="63">
        <v>30.6</v>
      </c>
    </row>
    <row r="27" spans="2:7" ht="22.05" customHeight="1" x14ac:dyDescent="0.25">
      <c r="B27" s="27" t="s">
        <v>114</v>
      </c>
      <c r="C27" s="28" t="s">
        <v>215</v>
      </c>
      <c r="D27" s="29">
        <v>11</v>
      </c>
      <c r="E27" s="40">
        <v>1.36138613861386E-2</v>
      </c>
      <c r="F27" s="29">
        <v>5060</v>
      </c>
      <c r="G27" s="64">
        <v>30.5</v>
      </c>
    </row>
    <row r="28" spans="2:7" ht="22.05" customHeight="1" x14ac:dyDescent="0.25">
      <c r="B28" s="32" t="s">
        <v>116</v>
      </c>
      <c r="C28" s="33" t="s">
        <v>216</v>
      </c>
      <c r="D28" s="34">
        <v>53</v>
      </c>
      <c r="E28" s="41">
        <v>6.5594059405940597E-2</v>
      </c>
      <c r="F28" s="34">
        <v>24400</v>
      </c>
      <c r="G28" s="63">
        <v>30.5</v>
      </c>
    </row>
    <row r="29" spans="2:7" ht="22.05" customHeight="1" x14ac:dyDescent="0.25">
      <c r="B29" s="27" t="s">
        <v>118</v>
      </c>
      <c r="C29" s="28" t="s">
        <v>217</v>
      </c>
      <c r="D29" s="29">
        <v>15</v>
      </c>
      <c r="E29" s="40">
        <v>1.8564356435643501E-2</v>
      </c>
      <c r="F29" s="29">
        <v>7200</v>
      </c>
      <c r="G29" s="65">
        <v>29.3</v>
      </c>
    </row>
    <row r="30" spans="2:7" ht="22.05" customHeight="1" x14ac:dyDescent="0.25">
      <c r="B30" s="32" t="s">
        <v>120</v>
      </c>
      <c r="C30" s="33" t="s">
        <v>218</v>
      </c>
      <c r="D30" s="34">
        <v>40</v>
      </c>
      <c r="E30" s="41">
        <v>4.95049504950495E-2</v>
      </c>
      <c r="F30" s="34">
        <v>19400</v>
      </c>
      <c r="G30" s="66">
        <v>29</v>
      </c>
    </row>
    <row r="31" spans="2:7" ht="22.05" customHeight="1" x14ac:dyDescent="0.25">
      <c r="B31" s="27" t="s">
        <v>122</v>
      </c>
      <c r="C31" s="28" t="s">
        <v>219</v>
      </c>
      <c r="D31" s="29">
        <v>36</v>
      </c>
      <c r="E31" s="40">
        <v>4.4554455445544497E-2</v>
      </c>
      <c r="F31" s="29">
        <v>17700</v>
      </c>
      <c r="G31" s="65">
        <v>28.6</v>
      </c>
    </row>
    <row r="32" spans="2:7" ht="22.05" customHeight="1" x14ac:dyDescent="0.25">
      <c r="B32" s="32" t="s">
        <v>125</v>
      </c>
      <c r="C32" s="33" t="s">
        <v>220</v>
      </c>
      <c r="D32" s="34">
        <v>47</v>
      </c>
      <c r="E32" s="41">
        <v>5.8168316831683102E-2</v>
      </c>
      <c r="F32" s="34">
        <v>23500</v>
      </c>
      <c r="G32" s="66">
        <v>28.1</v>
      </c>
    </row>
    <row r="33" spans="2:7" ht="22.05" customHeight="1" x14ac:dyDescent="0.25">
      <c r="B33" s="27" t="s">
        <v>127</v>
      </c>
      <c r="C33" s="28" t="s">
        <v>221</v>
      </c>
      <c r="D33" s="29">
        <v>10</v>
      </c>
      <c r="E33" s="40">
        <v>1.23762376237623E-2</v>
      </c>
      <c r="F33" s="29">
        <v>5050</v>
      </c>
      <c r="G33" s="65">
        <v>27.8</v>
      </c>
    </row>
    <row r="34" spans="2:7" ht="22.05" customHeight="1" x14ac:dyDescent="0.25">
      <c r="B34" s="32" t="s">
        <v>129</v>
      </c>
      <c r="C34" s="33" t="s">
        <v>222</v>
      </c>
      <c r="D34" s="34">
        <v>20</v>
      </c>
      <c r="E34" s="41">
        <v>2.4752475247524702E-2</v>
      </c>
      <c r="F34" s="34">
        <v>10500</v>
      </c>
      <c r="G34" s="66">
        <v>26.8</v>
      </c>
    </row>
    <row r="35" spans="2:7" ht="22.05" customHeight="1" x14ac:dyDescent="0.25">
      <c r="B35" s="27" t="s">
        <v>131</v>
      </c>
      <c r="C35" s="28" t="s">
        <v>223</v>
      </c>
      <c r="D35" s="29">
        <v>25</v>
      </c>
      <c r="E35" s="40">
        <v>3.0940594059405899E-2</v>
      </c>
      <c r="F35" s="29">
        <v>13400</v>
      </c>
      <c r="G35" s="65">
        <v>26.2</v>
      </c>
    </row>
    <row r="36" spans="2:7" ht="22.05" customHeight="1" x14ac:dyDescent="0.25">
      <c r="B36" s="32" t="s">
        <v>133</v>
      </c>
      <c r="C36" s="33" t="s">
        <v>224</v>
      </c>
      <c r="D36" s="34">
        <v>25</v>
      </c>
      <c r="E36" s="41">
        <v>3.0940594059405899E-2</v>
      </c>
      <c r="F36" s="34">
        <v>13500</v>
      </c>
      <c r="G36" s="66">
        <v>26</v>
      </c>
    </row>
    <row r="37" spans="2:7" ht="22.05" customHeight="1" x14ac:dyDescent="0.25">
      <c r="B37" s="27" t="s">
        <v>135</v>
      </c>
      <c r="C37" s="28" t="s">
        <v>225</v>
      </c>
      <c r="D37" s="29">
        <v>10</v>
      </c>
      <c r="E37" s="40">
        <v>1.23762376237623E-2</v>
      </c>
      <c r="F37" s="29">
        <v>5450</v>
      </c>
      <c r="G37" s="65">
        <v>25.8</v>
      </c>
    </row>
    <row r="38" spans="2:7" ht="22.05" customHeight="1" x14ac:dyDescent="0.25">
      <c r="B38" s="32" t="s">
        <v>137</v>
      </c>
      <c r="C38" s="33" t="s">
        <v>226</v>
      </c>
      <c r="D38" s="34">
        <v>25</v>
      </c>
      <c r="E38" s="41">
        <v>3.0940594059405899E-2</v>
      </c>
      <c r="F38" s="34">
        <v>14000</v>
      </c>
      <c r="G38" s="66">
        <v>25.1</v>
      </c>
    </row>
    <row r="39" spans="2:7" ht="22.05" customHeight="1" x14ac:dyDescent="0.25">
      <c r="B39" s="27" t="s">
        <v>139</v>
      </c>
      <c r="C39" s="28" t="s">
        <v>227</v>
      </c>
      <c r="D39" s="29">
        <v>47</v>
      </c>
      <c r="E39" s="40">
        <v>5.8168316831683102E-2</v>
      </c>
      <c r="F39" s="29">
        <v>26400</v>
      </c>
      <c r="G39" s="65">
        <v>25</v>
      </c>
    </row>
    <row r="40" spans="2:7" ht="22.05" customHeight="1" x14ac:dyDescent="0.25">
      <c r="B40" s="32" t="s">
        <v>141</v>
      </c>
      <c r="C40" s="33" t="s">
        <v>228</v>
      </c>
      <c r="D40" s="34">
        <v>15</v>
      </c>
      <c r="E40" s="41">
        <v>1.8564356435643501E-2</v>
      </c>
      <c r="F40" s="34">
        <v>8440</v>
      </c>
      <c r="G40" s="66">
        <v>25</v>
      </c>
    </row>
    <row r="41" spans="2:7" ht="22.05" customHeight="1" x14ac:dyDescent="0.25">
      <c r="B41" s="27" t="s">
        <v>143</v>
      </c>
      <c r="C41" s="28" t="s">
        <v>229</v>
      </c>
      <c r="D41" s="29">
        <v>28</v>
      </c>
      <c r="E41" s="40">
        <v>3.4653465346534601E-2</v>
      </c>
      <c r="F41" s="29">
        <v>15800</v>
      </c>
      <c r="G41" s="65">
        <v>24.9</v>
      </c>
    </row>
    <row r="42" spans="2:7" ht="22.05" customHeight="1" x14ac:dyDescent="0.25">
      <c r="B42" s="32" t="s">
        <v>145</v>
      </c>
      <c r="C42" s="33" t="s">
        <v>230</v>
      </c>
      <c r="D42" s="34">
        <v>19</v>
      </c>
      <c r="E42" s="41">
        <v>2.3514851485148501E-2</v>
      </c>
      <c r="F42" s="34">
        <v>10800</v>
      </c>
      <c r="G42" s="66">
        <v>24.7</v>
      </c>
    </row>
    <row r="43" spans="2:7" ht="22.05" customHeight="1" x14ac:dyDescent="0.25">
      <c r="B43" s="27" t="s">
        <v>147</v>
      </c>
      <c r="C43" s="28" t="s">
        <v>231</v>
      </c>
      <c r="D43" s="29">
        <v>14</v>
      </c>
      <c r="E43" s="40">
        <v>1.73267326732673E-2</v>
      </c>
      <c r="F43" s="29">
        <v>8100</v>
      </c>
      <c r="G43" s="65">
        <v>24.3</v>
      </c>
    </row>
    <row r="44" spans="2:7" ht="22.05" customHeight="1" x14ac:dyDescent="0.25">
      <c r="B44" s="32" t="s">
        <v>149</v>
      </c>
      <c r="C44" s="33" t="s">
        <v>232</v>
      </c>
      <c r="D44" s="34">
        <v>74</v>
      </c>
      <c r="E44" s="41">
        <v>9.1584158415841499E-2</v>
      </c>
      <c r="F44" s="34">
        <v>43300</v>
      </c>
      <c r="G44" s="66">
        <v>24</v>
      </c>
    </row>
    <row r="45" spans="2:7" ht="22.05" customHeight="1" x14ac:dyDescent="0.25">
      <c r="B45" s="27" t="s">
        <v>151</v>
      </c>
      <c r="C45" s="28" t="s">
        <v>233</v>
      </c>
      <c r="D45" s="29">
        <v>22</v>
      </c>
      <c r="E45" s="40">
        <v>2.72277227722772E-2</v>
      </c>
      <c r="F45" s="29">
        <v>13000</v>
      </c>
      <c r="G45" s="65">
        <v>23.8</v>
      </c>
    </row>
    <row r="46" spans="2:7" ht="22.05" customHeight="1" x14ac:dyDescent="0.25">
      <c r="B46" s="32" t="s">
        <v>153</v>
      </c>
      <c r="C46" s="33" t="s">
        <v>234</v>
      </c>
      <c r="D46" s="34">
        <v>11</v>
      </c>
      <c r="E46" s="41">
        <v>1.36138613861386E-2</v>
      </c>
      <c r="F46" s="34">
        <v>6540</v>
      </c>
      <c r="G46" s="66">
        <v>23.6</v>
      </c>
    </row>
    <row r="47" spans="2:7" ht="22.05" customHeight="1" x14ac:dyDescent="0.25">
      <c r="B47" s="27" t="s">
        <v>155</v>
      </c>
      <c r="C47" s="28" t="s">
        <v>235</v>
      </c>
      <c r="D47" s="29">
        <v>23</v>
      </c>
      <c r="E47" s="40">
        <v>2.84653465346534E-2</v>
      </c>
      <c r="F47" s="29">
        <v>14100</v>
      </c>
      <c r="G47" s="65">
        <v>22.9</v>
      </c>
    </row>
    <row r="48" spans="2:7" ht="22.05" customHeight="1" x14ac:dyDescent="0.25">
      <c r="B48" s="32" t="s">
        <v>157</v>
      </c>
      <c r="C48" s="33" t="s">
        <v>236</v>
      </c>
      <c r="D48" s="34">
        <v>11</v>
      </c>
      <c r="E48" s="41">
        <v>1.36138613861386E-2</v>
      </c>
      <c r="F48" s="34">
        <v>6880</v>
      </c>
      <c r="G48" s="66">
        <v>22.5</v>
      </c>
    </row>
    <row r="51" spans="2:7" x14ac:dyDescent="0.25">
      <c r="B51" s="94" t="s">
        <v>237</v>
      </c>
      <c r="C51" s="79"/>
      <c r="D51" s="79"/>
      <c r="E51" s="79"/>
      <c r="F51" s="79"/>
      <c r="G51" s="79"/>
    </row>
  </sheetData>
  <mergeCells count="5">
    <mergeCell ref="B3:G3"/>
    <mergeCell ref="B2:G2"/>
    <mergeCell ref="B51:G51"/>
    <mergeCell ref="B5:G5"/>
    <mergeCell ref="B6:G6"/>
  </mergeCells>
  <phoneticPr fontId="27"/>
  <conditionalFormatting sqref="G9:G48">
    <cfRule type="colorScale" priority="1">
      <colorScale>
        <cfvo type="min"/>
        <cfvo type="percentile" val="50"/>
        <cfvo type="max"/>
        <color rgb="FFFFFFFF"/>
        <color rgb="FFFED7AA"/>
        <color rgb="FFEA580C"/>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sheetPr>
  <dimension ref="B1:E19"/>
  <sheetViews>
    <sheetView showGridLines="0" topLeftCell="A19" workbookViewId="0"/>
  </sheetViews>
  <sheetFormatPr defaultRowHeight="12.75" x14ac:dyDescent="0.25"/>
  <cols>
    <col min="1" max="1" width="2" customWidth="1"/>
    <col min="2" max="2" width="22" customWidth="1"/>
    <col min="3" max="5" width="16" customWidth="1"/>
  </cols>
  <sheetData>
    <row r="1" spans="2:5" ht="5" customHeight="1" x14ac:dyDescent="0.25">
      <c r="B1" s="67"/>
      <c r="C1" s="67"/>
      <c r="D1" s="67"/>
      <c r="E1" s="67"/>
    </row>
    <row r="2" spans="2:5" ht="38" customHeight="1" x14ac:dyDescent="0.25">
      <c r="B2" s="90" t="s">
        <v>238</v>
      </c>
      <c r="C2" s="79"/>
      <c r="D2" s="79"/>
      <c r="E2" s="79"/>
    </row>
    <row r="3" spans="2:5" ht="45" customHeight="1" x14ac:dyDescent="0.25">
      <c r="B3" s="92" t="s">
        <v>239</v>
      </c>
      <c r="C3" s="79"/>
      <c r="D3" s="79"/>
      <c r="E3" s="79"/>
    </row>
    <row r="4" spans="2:5" ht="10.050000000000001" customHeight="1" x14ac:dyDescent="0.25"/>
    <row r="5" spans="2:5" ht="28.05" customHeight="1" x14ac:dyDescent="0.25">
      <c r="B5" s="68" t="s">
        <v>240</v>
      </c>
      <c r="C5" s="68" t="s">
        <v>241</v>
      </c>
      <c r="D5" s="68" t="s">
        <v>242</v>
      </c>
      <c r="E5" s="68" t="s">
        <v>243</v>
      </c>
    </row>
    <row r="6" spans="2:5" ht="24" customHeight="1" x14ac:dyDescent="0.25">
      <c r="B6" s="27" t="s">
        <v>244</v>
      </c>
      <c r="C6" s="29">
        <v>280</v>
      </c>
      <c r="D6" s="40">
        <v>0.34653465346534651</v>
      </c>
      <c r="E6" s="69" t="s">
        <v>245</v>
      </c>
    </row>
    <row r="7" spans="2:5" ht="24" customHeight="1" x14ac:dyDescent="0.25">
      <c r="B7" s="32" t="s">
        <v>246</v>
      </c>
      <c r="C7" s="34">
        <v>167</v>
      </c>
      <c r="D7" s="41">
        <v>0.2066831683168317</v>
      </c>
      <c r="E7" s="70" t="s">
        <v>247</v>
      </c>
    </row>
    <row r="8" spans="2:5" ht="24" customHeight="1" x14ac:dyDescent="0.25">
      <c r="B8" s="27" t="s">
        <v>248</v>
      </c>
      <c r="C8" s="29">
        <v>87</v>
      </c>
      <c r="D8" s="40">
        <v>0.1076732673267327</v>
      </c>
      <c r="E8" s="69"/>
    </row>
    <row r="9" spans="2:5" ht="24" customHeight="1" x14ac:dyDescent="0.25">
      <c r="B9" s="32" t="s">
        <v>249</v>
      </c>
      <c r="C9" s="34">
        <v>62</v>
      </c>
      <c r="D9" s="41">
        <v>7.6732673267326731E-2</v>
      </c>
      <c r="E9" s="70"/>
    </row>
    <row r="10" spans="2:5" ht="24" customHeight="1" x14ac:dyDescent="0.25">
      <c r="B10" s="27" t="s">
        <v>250</v>
      </c>
      <c r="C10" s="29">
        <v>43</v>
      </c>
      <c r="D10" s="40">
        <v>5.3217821782178223E-2</v>
      </c>
      <c r="E10" s="69"/>
    </row>
    <row r="11" spans="2:5" ht="24" customHeight="1" x14ac:dyDescent="0.25">
      <c r="B11" s="32" t="s">
        <v>251</v>
      </c>
      <c r="C11" s="34">
        <v>27</v>
      </c>
      <c r="D11" s="41">
        <v>3.3415841584158418E-2</v>
      </c>
      <c r="E11" s="70"/>
    </row>
    <row r="12" spans="2:5" ht="24" customHeight="1" x14ac:dyDescent="0.25">
      <c r="B12" s="27" t="s">
        <v>252</v>
      </c>
      <c r="C12" s="29">
        <v>27</v>
      </c>
      <c r="D12" s="40">
        <v>3.3415841584158418E-2</v>
      </c>
      <c r="E12" s="69"/>
    </row>
    <row r="13" spans="2:5" ht="24" customHeight="1" x14ac:dyDescent="0.25">
      <c r="B13" s="32" t="s">
        <v>253</v>
      </c>
      <c r="C13" s="34">
        <v>18</v>
      </c>
      <c r="D13" s="41">
        <v>2.227722772277228E-2</v>
      </c>
      <c r="E13" s="70"/>
    </row>
    <row r="14" spans="2:5" ht="24" customHeight="1" x14ac:dyDescent="0.25">
      <c r="B14" s="27" t="s">
        <v>254</v>
      </c>
      <c r="C14" s="29">
        <v>22</v>
      </c>
      <c r="D14" s="40">
        <v>2.7227722772277231E-2</v>
      </c>
      <c r="E14" s="69"/>
    </row>
    <row r="15" spans="2:5" ht="24" customHeight="1" x14ac:dyDescent="0.25">
      <c r="B15" s="32" t="s">
        <v>255</v>
      </c>
      <c r="C15" s="34">
        <v>75</v>
      </c>
      <c r="D15" s="41">
        <v>9.2821782178217821E-2</v>
      </c>
      <c r="E15" s="70" t="s">
        <v>256</v>
      </c>
    </row>
    <row r="16" spans="2:5" ht="24" customHeight="1" x14ac:dyDescent="0.25">
      <c r="B16" s="27" t="s">
        <v>257</v>
      </c>
      <c r="C16" s="29">
        <v>0</v>
      </c>
      <c r="D16" s="40">
        <v>0</v>
      </c>
      <c r="E16" s="69" t="s">
        <v>258</v>
      </c>
    </row>
    <row r="17" spans="2:5" ht="26" customHeight="1" x14ac:dyDescent="0.25">
      <c r="B17" s="56" t="s">
        <v>259</v>
      </c>
      <c r="C17" s="57">
        <f>SUM(C6:C16)</f>
        <v>808</v>
      </c>
      <c r="D17" s="58">
        <v>1</v>
      </c>
      <c r="E17" s="71"/>
    </row>
    <row r="19" spans="2:5" x14ac:dyDescent="0.25">
      <c r="B19" s="91" t="s">
        <v>260</v>
      </c>
      <c r="C19" s="79"/>
      <c r="D19" s="79"/>
      <c r="E19" s="79"/>
    </row>
  </sheetData>
  <mergeCells count="3">
    <mergeCell ref="B19:E19"/>
    <mergeCell ref="B3:E3"/>
    <mergeCell ref="B2:E2"/>
  </mergeCells>
  <phoneticPr fontId="27"/>
  <conditionalFormatting sqref="C6:C16">
    <cfRule type="colorScale" priority="1">
      <colorScale>
        <cfvo type="min"/>
        <cfvo type="max"/>
        <color rgb="FFFFFFFF"/>
        <color rgb="FF7C3AED"/>
      </colorScale>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891B2"/>
  </sheetPr>
  <dimension ref="B1:E28"/>
  <sheetViews>
    <sheetView showGridLines="0" workbookViewId="0">
      <selection activeCell="I32" sqref="I32"/>
    </sheetView>
  </sheetViews>
  <sheetFormatPr defaultRowHeight="12.75" x14ac:dyDescent="0.25"/>
  <cols>
    <col min="1" max="1" width="2" customWidth="1"/>
    <col min="2" max="2" width="22" customWidth="1"/>
    <col min="3" max="3" width="13" customWidth="1"/>
    <col min="4" max="4" width="14" customWidth="1"/>
    <col min="5" max="5" width="52" customWidth="1"/>
  </cols>
  <sheetData>
    <row r="1" spans="2:5" ht="5" customHeight="1" x14ac:dyDescent="0.25">
      <c r="B1" s="72"/>
      <c r="C1" s="72"/>
      <c r="D1" s="72"/>
      <c r="E1" s="72"/>
    </row>
    <row r="2" spans="2:5" ht="38" customHeight="1" x14ac:dyDescent="0.25">
      <c r="B2" s="90" t="s">
        <v>261</v>
      </c>
      <c r="C2" s="79"/>
      <c r="D2" s="79"/>
      <c r="E2" s="79"/>
    </row>
    <row r="3" spans="2:5" ht="50" customHeight="1" x14ac:dyDescent="0.25">
      <c r="B3" s="92" t="s">
        <v>262</v>
      </c>
      <c r="C3" s="79"/>
      <c r="D3" s="79"/>
      <c r="E3" s="79"/>
    </row>
    <row r="4" spans="2:5" ht="10.050000000000001" customHeight="1" x14ac:dyDescent="0.25"/>
    <row r="5" spans="2:5" ht="28.05" customHeight="1" x14ac:dyDescent="0.25">
      <c r="B5" s="73" t="s">
        <v>263</v>
      </c>
      <c r="C5" s="73" t="s">
        <v>264</v>
      </c>
      <c r="D5" s="73" t="s">
        <v>265</v>
      </c>
      <c r="E5" s="73" t="s">
        <v>266</v>
      </c>
    </row>
    <row r="6" spans="2:5" ht="38" customHeight="1" x14ac:dyDescent="0.25">
      <c r="B6" s="15" t="s">
        <v>267</v>
      </c>
      <c r="C6" s="29">
        <v>3015</v>
      </c>
      <c r="D6" s="29">
        <v>20809</v>
      </c>
      <c r="E6" s="17" t="s">
        <v>268</v>
      </c>
    </row>
    <row r="7" spans="2:5" ht="38" customHeight="1" x14ac:dyDescent="0.25">
      <c r="B7" s="18" t="s">
        <v>269</v>
      </c>
      <c r="C7" s="34">
        <v>3010</v>
      </c>
      <c r="D7" s="34">
        <v>23027</v>
      </c>
      <c r="E7" s="20" t="s">
        <v>270</v>
      </c>
    </row>
    <row r="8" spans="2:5" ht="38" customHeight="1" x14ac:dyDescent="0.25">
      <c r="B8" s="15" t="s">
        <v>271</v>
      </c>
      <c r="C8" s="29">
        <v>2741</v>
      </c>
      <c r="D8" s="29">
        <v>41886</v>
      </c>
      <c r="E8" s="17" t="s">
        <v>272</v>
      </c>
    </row>
    <row r="9" spans="2:5" ht="38" customHeight="1" x14ac:dyDescent="0.25">
      <c r="B9" s="18" t="s">
        <v>273</v>
      </c>
      <c r="C9" s="34">
        <v>2482</v>
      </c>
      <c r="D9" s="34">
        <v>14905</v>
      </c>
      <c r="E9" s="20" t="s">
        <v>274</v>
      </c>
    </row>
    <row r="10" spans="2:5" ht="38" customHeight="1" x14ac:dyDescent="0.25">
      <c r="B10" s="15" t="s">
        <v>275</v>
      </c>
      <c r="C10" s="29">
        <v>2414</v>
      </c>
      <c r="D10" s="29">
        <v>25556</v>
      </c>
      <c r="E10" s="17" t="s">
        <v>276</v>
      </c>
    </row>
    <row r="11" spans="2:5" ht="38" customHeight="1" x14ac:dyDescent="0.25">
      <c r="B11" s="18" t="s">
        <v>277</v>
      </c>
      <c r="C11" s="34">
        <v>279</v>
      </c>
      <c r="D11" s="34">
        <v>2203</v>
      </c>
      <c r="E11" s="20" t="s">
        <v>278</v>
      </c>
    </row>
    <row r="12" spans="2:5" ht="38" customHeight="1" x14ac:dyDescent="0.25">
      <c r="B12" s="15" t="s">
        <v>279</v>
      </c>
      <c r="C12" s="29">
        <v>174</v>
      </c>
      <c r="D12" s="29">
        <v>463</v>
      </c>
      <c r="E12" s="17" t="s">
        <v>280</v>
      </c>
    </row>
    <row r="13" spans="2:5" ht="38" customHeight="1" x14ac:dyDescent="0.25">
      <c r="B13" s="18" t="s">
        <v>281</v>
      </c>
      <c r="C13" s="34">
        <v>169</v>
      </c>
      <c r="D13" s="34">
        <v>436</v>
      </c>
      <c r="E13" s="20" t="s">
        <v>282</v>
      </c>
    </row>
    <row r="14" spans="2:5" ht="38" customHeight="1" x14ac:dyDescent="0.25">
      <c r="B14" s="15" t="s">
        <v>283</v>
      </c>
      <c r="C14" s="29">
        <v>84</v>
      </c>
      <c r="D14" s="29">
        <v>278</v>
      </c>
      <c r="E14" s="17" t="s">
        <v>284</v>
      </c>
    </row>
    <row r="15" spans="2:5" ht="38" customHeight="1" x14ac:dyDescent="0.25">
      <c r="B15" s="18" t="s">
        <v>285</v>
      </c>
      <c r="C15" s="34">
        <v>78</v>
      </c>
      <c r="D15" s="34">
        <v>165</v>
      </c>
      <c r="E15" s="20" t="s">
        <v>286</v>
      </c>
    </row>
    <row r="16" spans="2:5" ht="38" customHeight="1" x14ac:dyDescent="0.25">
      <c r="B16" s="15" t="s">
        <v>287</v>
      </c>
      <c r="C16" s="29">
        <v>57</v>
      </c>
      <c r="D16" s="29">
        <v>206</v>
      </c>
      <c r="E16" s="17" t="s">
        <v>288</v>
      </c>
    </row>
    <row r="17" spans="2:5" ht="38" customHeight="1" x14ac:dyDescent="0.25">
      <c r="B17" s="18" t="s">
        <v>289</v>
      </c>
      <c r="C17" s="34">
        <v>48</v>
      </c>
      <c r="D17" s="34">
        <v>180</v>
      </c>
      <c r="E17" s="20" t="s">
        <v>290</v>
      </c>
    </row>
    <row r="18" spans="2:5" ht="38" customHeight="1" x14ac:dyDescent="0.25">
      <c r="B18" s="15" t="s">
        <v>291</v>
      </c>
      <c r="C18" s="29">
        <v>18</v>
      </c>
      <c r="D18" s="29">
        <v>32</v>
      </c>
      <c r="E18" s="17" t="s">
        <v>292</v>
      </c>
    </row>
    <row r="19" spans="2:5" ht="38" customHeight="1" x14ac:dyDescent="0.25">
      <c r="B19" s="18" t="s">
        <v>293</v>
      </c>
      <c r="C19" s="34">
        <v>11</v>
      </c>
      <c r="D19" s="34">
        <v>28</v>
      </c>
      <c r="E19" s="20" t="s">
        <v>294</v>
      </c>
    </row>
    <row r="20" spans="2:5" ht="38" customHeight="1" x14ac:dyDescent="0.25">
      <c r="B20" s="15" t="s">
        <v>295</v>
      </c>
      <c r="C20" s="29">
        <v>10</v>
      </c>
      <c r="D20" s="29">
        <v>12</v>
      </c>
      <c r="E20" s="17" t="s">
        <v>296</v>
      </c>
    </row>
    <row r="21" spans="2:5" ht="38" customHeight="1" x14ac:dyDescent="0.25">
      <c r="B21" s="18" t="s">
        <v>297</v>
      </c>
      <c r="C21" s="34">
        <v>9</v>
      </c>
      <c r="D21" s="34">
        <v>10</v>
      </c>
      <c r="E21" s="20" t="s">
        <v>298</v>
      </c>
    </row>
    <row r="22" spans="2:5" ht="38" customHeight="1" x14ac:dyDescent="0.25">
      <c r="B22" s="15" t="s">
        <v>299</v>
      </c>
      <c r="C22" s="29">
        <v>8</v>
      </c>
      <c r="D22" s="29">
        <v>13</v>
      </c>
      <c r="E22" s="17" t="s">
        <v>300</v>
      </c>
    </row>
    <row r="23" spans="2:5" ht="38" customHeight="1" x14ac:dyDescent="0.25">
      <c r="B23" s="18" t="s">
        <v>301</v>
      </c>
      <c r="C23" s="34">
        <v>7</v>
      </c>
      <c r="D23" s="34">
        <v>8</v>
      </c>
      <c r="E23" s="20" t="s">
        <v>302</v>
      </c>
    </row>
    <row r="24" spans="2:5" ht="38" customHeight="1" x14ac:dyDescent="0.25">
      <c r="B24" s="100" t="s">
        <v>345</v>
      </c>
      <c r="C24" s="29">
        <v>5</v>
      </c>
      <c r="D24" s="29">
        <v>6</v>
      </c>
      <c r="E24" s="17" t="s">
        <v>303</v>
      </c>
    </row>
    <row r="25" spans="2:5" ht="38" customHeight="1" x14ac:dyDescent="0.25">
      <c r="B25" s="101" t="s">
        <v>346</v>
      </c>
      <c r="C25" s="34">
        <v>5</v>
      </c>
      <c r="D25" s="34">
        <v>4</v>
      </c>
      <c r="E25" s="20" t="s">
        <v>304</v>
      </c>
    </row>
    <row r="28" spans="2:5" x14ac:dyDescent="0.25">
      <c r="B28" s="99"/>
      <c r="C28" s="79"/>
      <c r="D28" s="79"/>
      <c r="E28" s="79"/>
    </row>
  </sheetData>
  <mergeCells count="3">
    <mergeCell ref="B28:E28"/>
    <mergeCell ref="B3:E3"/>
    <mergeCell ref="B2:E2"/>
  </mergeCells>
  <phoneticPr fontId="27"/>
  <conditionalFormatting sqref="C6:C25">
    <cfRule type="dataBar" priority="1">
      <dataBar>
        <cfvo type="num" val="0"/>
        <cfvo type="max"/>
        <color rgb="FF0891B2"/>
      </dataBar>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B7280"/>
  </sheetPr>
  <dimension ref="B1:D23"/>
  <sheetViews>
    <sheetView showGridLines="0" workbookViewId="0">
      <selection activeCell="B20" sqref="B20"/>
    </sheetView>
  </sheetViews>
  <sheetFormatPr defaultRowHeight="12.75" x14ac:dyDescent="0.25"/>
  <cols>
    <col min="1" max="1" width="2" customWidth="1"/>
    <col min="2" max="2" width="22" customWidth="1"/>
    <col min="3" max="3" width="36" customWidth="1"/>
    <col min="4" max="4" width="28" customWidth="1"/>
  </cols>
  <sheetData>
    <row r="1" spans="2:4" ht="5" customHeight="1" x14ac:dyDescent="0.25">
      <c r="B1" s="74"/>
      <c r="C1" s="74"/>
      <c r="D1" s="74"/>
    </row>
    <row r="2" spans="2:4" ht="38" customHeight="1" x14ac:dyDescent="0.25">
      <c r="B2" s="90" t="s">
        <v>61</v>
      </c>
      <c r="C2" s="79"/>
      <c r="D2" s="79"/>
    </row>
    <row r="3" spans="2:4" ht="28.05" customHeight="1" x14ac:dyDescent="0.25">
      <c r="B3" s="92" t="s">
        <v>305</v>
      </c>
      <c r="C3" s="79"/>
      <c r="D3" s="79"/>
    </row>
    <row r="4" spans="2:4" ht="10.050000000000001" customHeight="1" x14ac:dyDescent="0.25"/>
    <row r="5" spans="2:4" ht="26" customHeight="1" x14ac:dyDescent="0.25">
      <c r="B5" s="85" t="s">
        <v>306</v>
      </c>
      <c r="C5" s="79"/>
      <c r="D5" s="79"/>
    </row>
    <row r="6" spans="2:4" ht="50" customHeight="1" x14ac:dyDescent="0.25">
      <c r="B6" s="75" t="s">
        <v>307</v>
      </c>
      <c r="C6" s="12" t="s">
        <v>308</v>
      </c>
      <c r="D6" s="17" t="s">
        <v>309</v>
      </c>
    </row>
    <row r="7" spans="2:4" ht="50" customHeight="1" x14ac:dyDescent="0.25">
      <c r="B7" s="75" t="s">
        <v>310</v>
      </c>
      <c r="C7" s="13" t="s">
        <v>311</v>
      </c>
      <c r="D7" s="20" t="s">
        <v>312</v>
      </c>
    </row>
    <row r="8" spans="2:4" ht="50" customHeight="1" x14ac:dyDescent="0.25">
      <c r="B8" s="75" t="s">
        <v>313</v>
      </c>
      <c r="C8" s="12" t="s">
        <v>314</v>
      </c>
      <c r="D8" s="17" t="s">
        <v>315</v>
      </c>
    </row>
    <row r="9" spans="2:4" ht="50" customHeight="1" x14ac:dyDescent="0.25">
      <c r="B9" s="75" t="s">
        <v>316</v>
      </c>
      <c r="C9" s="13" t="s">
        <v>317</v>
      </c>
      <c r="D9" s="20" t="s">
        <v>318</v>
      </c>
    </row>
    <row r="10" spans="2:4" ht="50" customHeight="1" x14ac:dyDescent="0.25">
      <c r="B10" s="75" t="s">
        <v>319</v>
      </c>
      <c r="C10" s="12" t="s">
        <v>320</v>
      </c>
      <c r="D10" s="17" t="s">
        <v>321</v>
      </c>
    </row>
    <row r="11" spans="2:4" ht="10.050000000000001" customHeight="1" x14ac:dyDescent="0.25"/>
    <row r="12" spans="2:4" ht="26" customHeight="1" x14ac:dyDescent="0.25">
      <c r="B12" s="96" t="s">
        <v>340</v>
      </c>
      <c r="C12" s="79"/>
      <c r="D12" s="79"/>
    </row>
    <row r="13" spans="2:4" ht="26" customHeight="1" x14ac:dyDescent="0.25">
      <c r="B13" s="14" t="s">
        <v>322</v>
      </c>
    </row>
    <row r="14" spans="2:4" ht="13.15" x14ac:dyDescent="0.25">
      <c r="C14" s="14" t="s">
        <v>323</v>
      </c>
    </row>
    <row r="15" spans="2:4" ht="13.15" x14ac:dyDescent="0.25">
      <c r="D15" s="14" t="s">
        <v>324</v>
      </c>
    </row>
    <row r="16" spans="2:4" ht="45" customHeight="1" x14ac:dyDescent="0.25">
      <c r="B16" s="76" t="s">
        <v>325</v>
      </c>
      <c r="C16" s="12" t="s">
        <v>326</v>
      </c>
      <c r="D16" s="17" t="s">
        <v>327</v>
      </c>
    </row>
    <row r="17" spans="2:4" ht="45" customHeight="1" x14ac:dyDescent="0.25">
      <c r="B17" s="97" t="s">
        <v>341</v>
      </c>
      <c r="C17" s="13" t="s">
        <v>328</v>
      </c>
      <c r="D17" s="20" t="s">
        <v>329</v>
      </c>
    </row>
    <row r="18" spans="2:4" ht="45" customHeight="1" x14ac:dyDescent="0.25">
      <c r="B18" s="98" t="s">
        <v>342</v>
      </c>
      <c r="C18" s="12" t="s">
        <v>330</v>
      </c>
      <c r="D18" s="17" t="s">
        <v>331</v>
      </c>
    </row>
    <row r="19" spans="2:4" ht="45" customHeight="1" x14ac:dyDescent="0.25">
      <c r="B19" s="97" t="s">
        <v>343</v>
      </c>
      <c r="C19" s="13" t="s">
        <v>332</v>
      </c>
      <c r="D19" s="20" t="s">
        <v>333</v>
      </c>
    </row>
    <row r="20" spans="2:4" ht="45" customHeight="1" x14ac:dyDescent="0.25">
      <c r="B20" s="98" t="s">
        <v>344</v>
      </c>
      <c r="C20" s="12" t="s">
        <v>334</v>
      </c>
      <c r="D20" s="17" t="s">
        <v>335</v>
      </c>
    </row>
    <row r="21" spans="2:4" ht="45" customHeight="1" x14ac:dyDescent="0.25">
      <c r="B21" s="77" t="s">
        <v>336</v>
      </c>
      <c r="C21" s="13" t="s">
        <v>337</v>
      </c>
      <c r="D21" s="20" t="s">
        <v>338</v>
      </c>
    </row>
    <row r="22" spans="2:4" ht="10.050000000000001" customHeight="1" x14ac:dyDescent="0.25"/>
    <row r="23" spans="2:4" x14ac:dyDescent="0.25">
      <c r="B23" s="91" t="s">
        <v>339</v>
      </c>
      <c r="C23" s="79"/>
      <c r="D23" s="79"/>
    </row>
  </sheetData>
  <mergeCells count="5">
    <mergeCell ref="B3:D3"/>
    <mergeCell ref="B5:D5"/>
    <mergeCell ref="B23:D23"/>
    <mergeCell ref="B12:D12"/>
    <mergeCell ref="B2:D2"/>
  </mergeCells>
  <phoneticPr fontId="2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 ダッシュボード</vt:lpstr>
      <vt:lpstr>① 人気チャンネルTop50</vt:lpstr>
      <vt:lpstr>② 視聴者の興味ジャンル</vt:lpstr>
      <vt:lpstr>③ 隠れた相性チャンネル</vt:lpstr>
      <vt:lpstr>④ 登録数の分布</vt:lpstr>
      <vt:lpstr>⑤ 視聴者グループ</vt:lpstr>
      <vt:lpstr>📋 用語・手法の説明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悠人 市村</cp:lastModifiedBy>
  <dcterms:created xsi:type="dcterms:W3CDTF">2026-06-24T00:33:50Z</dcterms:created>
  <dcterms:modified xsi:type="dcterms:W3CDTF">2026-06-24T08:41:47Z</dcterms:modified>
</cp:coreProperties>
</file>